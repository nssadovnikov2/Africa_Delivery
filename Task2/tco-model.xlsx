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TCO-A Modular Monolith" sheetId="4" state="visible" r:id="rId4"/>
    <sheet xmlns:r="http://schemas.openxmlformats.org/officeDocument/2006/relationships" name="TCO-B Service-Based" sheetId="5" state="visible" r:id="rId5"/>
    <sheet xmlns:r="http://schemas.openxmlformats.org/officeDocument/2006/relationships" name="TCO-C Microservices (CTO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\$#,##0.00;&quot;($&quot;#,##0.00\);\-"/>
    <numFmt numFmtId="165" formatCode="\$#,##0;&quot;($&quot;#,##0\);\-"/>
    <numFmt numFmtId="166" formatCode="0.0%"/>
    <numFmt numFmtId="167" formatCode="0.000%"/>
    <numFmt numFmtId="168" formatCode="0.000"/>
  </numFmts>
  <fonts count="15">
    <font>
      <name val="Calibri"/>
      <color theme="1"/>
      <sz val="11"/>
      <scheme val="minor"/>
    </font>
    <font>
      <name val="Arial"/>
      <b val="1"/>
      <color theme="1"/>
      <sz val="14"/>
    </font>
    <font>
      <name val="Arial"/>
      <b val="1"/>
      <color theme="1"/>
      <sz val="10"/>
    </font>
    <font>
      <name val="Arial"/>
      <color theme="1"/>
      <sz val="10"/>
    </font>
    <font>
      <name val="Arial"/>
      <b val="1"/>
      <color theme="1"/>
      <sz val="11"/>
    </font>
    <font>
      <name val="Calibri"/>
      <color theme="1"/>
      <sz val="11"/>
    </font>
    <font>
      <name val="Arial"/>
      <i val="1"/>
      <color rgb="FF808080"/>
      <sz val="9"/>
    </font>
    <font>
      <name val="Arial"/>
      <b val="1"/>
      <color rgb="FFFFFFFF"/>
      <sz val="11"/>
    </font>
    <font>
      <name val="Arial"/>
      <b val="1"/>
      <color rgb="FFC00000"/>
      <sz val="10"/>
    </font>
    <font>
      <name val="Arial"/>
      <color rgb="FF0000FF"/>
      <sz val="10"/>
    </font>
    <font>
      <name val="Calibri"/>
      <color theme="1"/>
      <scheme val="minor"/>
    </font>
    <font>
      <name val="Arial"/>
      <color rgb="FF008000"/>
      <sz val="10"/>
    </font>
    <font/>
    <font>
      <b val="1"/>
    </font>
    <font>
      <b val="1"/>
      <sz val="12"/>
    </font>
  </fonts>
  <fills count="8">
    <fill>
      <patternFill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1F3864"/>
        <bgColor rgb="FF1F3864"/>
      </patternFill>
    </fill>
    <fill>
      <patternFill patternType="solid">
        <fgColor rgb="FFFFFF99"/>
        <bgColor rgb="FFFFFF99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F99"/>
      </patternFill>
    </fill>
  </fills>
  <borders count="13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</border>
    <border>
      <right style="thin">
        <color rgb="FFBFBFBF"/>
      </right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</borders>
  <cellStyleXfs count="1">
    <xf numFmtId="0" fontId="0" fillId="0" borderId="0"/>
  </cellStyleXfs>
  <cellXfs count="7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bottom"/>
    </xf>
    <xf numFmtId="0" fontId="5" fillId="2" borderId="1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4" fillId="2" borderId="2" applyAlignment="1" pivotButton="0" quotePrefix="0" xfId="0">
      <alignment vertical="bottom"/>
    </xf>
    <xf numFmtId="0" fontId="5" fillId="2" borderId="2" applyAlignment="1" pivotButton="0" quotePrefix="0" xfId="0">
      <alignment vertical="bottom"/>
    </xf>
    <xf numFmtId="0" fontId="7" fillId="3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top" wrapText="1"/>
    </xf>
    <xf numFmtId="0" fontId="3" fillId="0" borderId="2" applyAlignment="1" pivotButton="0" quotePrefix="0" xfId="0">
      <alignment vertical="bottom"/>
    </xf>
    <xf numFmtId="3" fontId="9" fillId="4" borderId="2" applyAlignment="1" pivotButton="0" quotePrefix="0" xfId="0">
      <alignment vertical="bottom"/>
    </xf>
    <xf numFmtId="0" fontId="6" fillId="0" borderId="0" applyAlignment="1" pivotButton="0" quotePrefix="0" xfId="0">
      <alignment vertical="top" wrapText="1"/>
    </xf>
    <xf numFmtId="164" fontId="9" fillId="4" borderId="2" applyAlignment="1" pivotButton="0" quotePrefix="0" xfId="0">
      <alignment vertical="bottom"/>
    </xf>
    <xf numFmtId="0" fontId="2" fillId="0" borderId="2" applyAlignment="1" pivotButton="0" quotePrefix="0" xfId="0">
      <alignment vertical="bottom"/>
    </xf>
    <xf numFmtId="165" fontId="2" fillId="0" borderId="2" applyAlignment="1" pivotButton="0" quotePrefix="0" xfId="0">
      <alignment vertical="bottom"/>
    </xf>
    <xf numFmtId="0" fontId="9" fillId="4" borderId="2" applyAlignment="1" pivotButton="0" quotePrefix="0" xfId="0">
      <alignment vertical="bottom"/>
    </xf>
    <xf numFmtId="165" fontId="9" fillId="4" borderId="2" applyAlignment="1" pivotButton="0" quotePrefix="0" xfId="0">
      <alignment vertical="bottom"/>
    </xf>
    <xf numFmtId="166" fontId="9" fillId="4" borderId="2" applyAlignment="1" pivotButton="0" quotePrefix="0" xfId="0">
      <alignment vertical="bottom"/>
    </xf>
    <xf numFmtId="167" fontId="9" fillId="4" borderId="2" applyAlignment="1" pivotButton="0" quotePrefix="0" xfId="0">
      <alignment vertical="bottom"/>
    </xf>
    <xf numFmtId="1" fontId="9" fillId="4" borderId="2" applyAlignment="1" pivotButton="0" quotePrefix="0" xfId="0">
      <alignment vertical="bottom"/>
    </xf>
    <xf numFmtId="2" fontId="3" fillId="0" borderId="2" applyAlignment="1" pivotButton="0" quotePrefix="0" xfId="0">
      <alignment vertical="bottom"/>
    </xf>
    <xf numFmtId="165" fontId="3" fillId="0" borderId="2" applyAlignment="1" pivotButton="0" quotePrefix="0" xfId="0">
      <alignment vertical="bottom"/>
    </xf>
    <xf numFmtId="0" fontId="5" fillId="0" borderId="2" applyAlignment="1" pivotButton="0" quotePrefix="0" xfId="0">
      <alignment vertical="bottom"/>
    </xf>
    <xf numFmtId="0" fontId="6" fillId="0" borderId="2" applyAlignment="1" pivotButton="0" quotePrefix="0" xfId="0">
      <alignment vertical="top" wrapText="1"/>
    </xf>
    <xf numFmtId="0" fontId="2" fillId="5" borderId="2" applyAlignment="1" pivotButton="0" quotePrefix="0" xfId="0">
      <alignment vertical="bottom"/>
    </xf>
    <xf numFmtId="0" fontId="5" fillId="5" borderId="2" applyAlignment="1" pivotButton="0" quotePrefix="0" xfId="0">
      <alignment vertical="bottom"/>
    </xf>
    <xf numFmtId="165" fontId="2" fillId="5" borderId="2" applyAlignment="1" pivotButton="0" quotePrefix="0" xfId="0">
      <alignment vertical="bottom"/>
    </xf>
    <xf numFmtId="166" fontId="2" fillId="5" borderId="2" applyAlignment="1" pivotButton="0" quotePrefix="0" xfId="0">
      <alignment vertical="bottom"/>
    </xf>
    <xf numFmtId="0" fontId="10" fillId="0" borderId="0" pivotButton="0" quotePrefix="0" xfId="0"/>
    <xf numFmtId="165" fontId="11" fillId="0" borderId="2" applyAlignment="1" pivotButton="0" quotePrefix="0" xfId="0">
      <alignment vertical="bottom"/>
    </xf>
    <xf numFmtId="168" fontId="11" fillId="0" borderId="2" applyAlignment="1" pivotButton="0" quotePrefix="0" xfId="0">
      <alignment vertical="bottom"/>
    </xf>
    <xf numFmtId="165" fontId="2" fillId="6" borderId="3" applyAlignment="1" pivotButton="0" quotePrefix="0" xfId="0">
      <alignment vertical="bottom"/>
    </xf>
    <xf numFmtId="0" fontId="12" fillId="0" borderId="4" pivotButton="0" quotePrefix="0" xfId="0"/>
    <xf numFmtId="0" fontId="2" fillId="6" borderId="3" applyAlignment="1" pivotButton="0" quotePrefix="0" xfId="0">
      <alignment vertical="bottom"/>
    </xf>
    <xf numFmtId="164" fontId="2" fillId="6" borderId="3" applyAlignment="1" pivotButton="0" quotePrefix="0" xfId="0">
      <alignment vertical="bottom"/>
    </xf>
    <xf numFmtId="10" fontId="2" fillId="6" borderId="3" applyAlignment="1" pivotButton="0" quotePrefix="0" xfId="0">
      <alignment vertical="bottom"/>
    </xf>
    <xf numFmtId="166" fontId="2" fillId="6" borderId="3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9" fillId="4" borderId="5" applyAlignment="1" pivotButton="0" quotePrefix="0" xfId="0">
      <alignment vertical="top" wrapText="1"/>
    </xf>
    <xf numFmtId="0" fontId="12" fillId="0" borderId="6" pivotButton="0" quotePrefix="0" xfId="0"/>
    <xf numFmtId="0" fontId="12" fillId="0" borderId="7" pivotButton="0" quotePrefix="0" xfId="0"/>
    <xf numFmtId="0" fontId="12" fillId="0" borderId="8" pivotButton="0" quotePrefix="0" xfId="0"/>
    <xf numFmtId="0" fontId="12" fillId="0" borderId="9" pivotButton="0" quotePrefix="0" xfId="0"/>
    <xf numFmtId="0" fontId="12" fillId="0" borderId="10" pivotButton="0" quotePrefix="0" xfId="0"/>
    <xf numFmtId="0" fontId="12" fillId="0" borderId="11" pivotButton="0" quotePrefix="0" xfId="0"/>
    <xf numFmtId="0" fontId="12" fillId="0" borderId="12" pivotButton="0" quotePrefix="0" xfId="0"/>
    <xf numFmtId="0" fontId="0" fillId="0" borderId="0" pivotButton="0" quotePrefix="0" xfId="0"/>
    <xf numFmtId="0" fontId="13" fillId="0" borderId="0" applyAlignment="1" pivotButton="0" quotePrefix="0" xfId="0">
      <alignment vertical="top" wrapText="1"/>
    </xf>
    <xf numFmtId="0" fontId="13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4" fillId="0" borderId="0" pivotButton="0" quotePrefix="0" xfId="0"/>
    <xf numFmtId="0" fontId="13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10" fontId="0" fillId="7" borderId="0" pivotButton="0" quotePrefix="0" xfId="0"/>
    <xf numFmtId="165" fontId="2" fillId="6" borderId="2" applyAlignment="1" pivotButton="0" quotePrefix="0" xfId="0">
      <alignment vertical="bottom"/>
    </xf>
    <xf numFmtId="0" fontId="0" fillId="0" borderId="4" pivotButton="0" quotePrefix="0" xfId="0"/>
    <xf numFmtId="0" fontId="2" fillId="6" borderId="2" applyAlignment="1" pivotButton="0" quotePrefix="0" xfId="0">
      <alignment vertical="bottom"/>
    </xf>
    <xf numFmtId="164" fontId="2" fillId="6" borderId="2" applyAlignment="1" pivotButton="0" quotePrefix="0" xfId="0">
      <alignment vertical="bottom"/>
    </xf>
    <xf numFmtId="10" fontId="2" fillId="6" borderId="2" applyAlignment="1" pivotButton="0" quotePrefix="0" xfId="0">
      <alignment vertical="bottom"/>
    </xf>
    <xf numFmtId="166" fontId="2" fillId="6" borderId="2" applyAlignment="1" pivotButton="0" quotePrefix="0" xfId="0">
      <alignment vertical="bottom"/>
    </xf>
    <xf numFmtId="0" fontId="9" fillId="4" borderId="2" applyAlignment="1" pivotButton="0" quotePrefix="0" xfId="0">
      <alignment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48" min="1" max="1"/>
    <col width="46" customWidth="1" style="48" min="2" max="2"/>
    <col width="120" customWidth="1" style="48" min="3" max="3"/>
    <col width="8.710000000000001" customWidth="1" style="48" min="4" max="26"/>
  </cols>
  <sheetData>
    <row r="1"/>
    <row r="2">
      <c r="B2" s="49" t="inlineStr">
        <is>
          <t>TCO model - Africa Delivery, 5-year horizon (filled for 3 architecture options)</t>
        </is>
      </c>
    </row>
    <row r="3">
      <c r="B3" s="2" t="n"/>
      <c r="C3" s="3" t="n"/>
    </row>
    <row r="4">
      <c r="B4" s="50" t="inlineStr">
        <is>
          <t>Purpose</t>
        </is>
      </c>
      <c r="C4" s="51" t="inlineStr">
        <is>
          <t>Compare architecture options for ADR-001 by total cost of ownership incl. payroll and downtime risk.</t>
        </is>
      </c>
    </row>
    <row r="5" ht="30" customHeight="1" s="48">
      <c r="B5" s="49" t="inlineStr">
        <is>
          <t>Sheets</t>
        </is>
      </c>
      <c r="C5" s="52" t="inlineStr">
        <is>
          <t>Assumptions (shared drivers) -&gt; TCO-A / TCO-B / TCO-C (one copy of the template per option) -&gt; Comparison.</t>
        </is>
      </c>
    </row>
    <row r="6" ht="30" customHeight="1" s="48">
      <c r="B6" s="49" t="inlineStr">
        <is>
          <t>Legend</t>
        </is>
      </c>
      <c r="C6" s="52" t="inlineStr">
        <is>
          <t>Yellow cells = inputs. Everything else = formulas. Years 2-5 expand via the growth-index table.</t>
        </is>
      </c>
    </row>
    <row r="7">
      <c r="B7" s="49" t="inlineStr">
        <is>
          <t>Deviations from template</t>
        </is>
      </c>
      <c r="C7" s="52" t="inlineStr">
        <is>
          <t>1) CFO cap set to $5,000/mo (A6 p.1: $9k is the board figure incl. martech). 2) Downtime block uses a per-option SLO (cell D53 on each TCO sheet). 3) Loss per minute = $650 (GMV-at-risk, see Assumptions H19), not $12,000; sensitivity with $12k is on the Comparison sheet. 4) One-off items overwritten with explicit values in Years 2-5 (template rule).</t>
        </is>
      </c>
    </row>
    <row r="8">
      <c r="B8" s="50" t="inlineStr">
        <is>
          <t>Fiscal year</t>
        </is>
      </c>
      <c r="C8" s="51" t="inlineStr">
        <is>
          <t>Year 1 = Oct-2026 .. Sep-2027 (launch 15-Oct-2026).</t>
        </is>
      </c>
    </row>
    <row r="9">
      <c r="B9" s="49" t="inlineStr">
        <is>
          <t>Sources</t>
        </is>
      </c>
      <c r="C9" s="52" t="inlineStr">
        <is>
          <t>Artifact 5 (CTO letter), Artifact 6 (CFO letter), Artifact 2 (marketing brief), Task1/architecture-canvas.md, Task2/options-comparison.md.</t>
        </is>
      </c>
    </row>
    <row r="10">
      <c r="B10" s="2" t="n"/>
      <c r="C10" s="3" t="n"/>
    </row>
    <row r="11">
      <c r="B11" s="2" t="n"/>
      <c r="C11" s="3" t="n"/>
    </row>
    <row r="12">
      <c r="B12" s="2" t="n"/>
      <c r="C12" s="3" t="n"/>
    </row>
    <row r="13">
      <c r="B13" s="4" t="n"/>
      <c r="C13" s="5" t="n"/>
    </row>
    <row r="14" ht="30" customHeight="1" s="48">
      <c r="B14" s="2" t="n"/>
      <c r="C14" s="3" t="n"/>
    </row>
    <row r="15" ht="30" customHeight="1" s="48">
      <c r="B15" s="2" t="n"/>
      <c r="C15" s="3" t="n"/>
    </row>
    <row r="16" ht="30" customHeight="1" s="48">
      <c r="B16" s="2" t="n"/>
      <c r="C16" s="3" t="n"/>
    </row>
    <row r="17" ht="30" customHeight="1" s="48">
      <c r="B17" s="2" t="n"/>
      <c r="C17" s="3" t="n"/>
    </row>
    <row r="18" ht="30" customHeight="1" s="48">
      <c r="B18" s="2" t="n"/>
      <c r="C18" s="3" t="n"/>
    </row>
    <row r="19">
      <c r="B19" s="2" t="n"/>
      <c r="C19" s="3" t="n"/>
    </row>
    <row r="20">
      <c r="B20" s="4" t="n"/>
      <c r="C20" s="5" t="n"/>
    </row>
    <row r="21" ht="30" customHeight="1" s="48">
      <c r="B21" s="2" t="n"/>
      <c r="C21" s="3" t="n"/>
    </row>
    <row r="22" ht="30" customHeight="1" s="48">
      <c r="B22" s="2" t="n"/>
      <c r="C22" s="3" t="n"/>
    </row>
    <row r="23" ht="30" customHeight="1" s="48">
      <c r="B23" s="2" t="n"/>
      <c r="C23" s="3" t="n"/>
    </row>
    <row r="24" ht="30" customHeight="1" s="48">
      <c r="B24" s="2" t="n"/>
      <c r="C24" s="3" t="n"/>
    </row>
    <row r="25" ht="30" customHeight="1" s="48">
      <c r="B25" s="2" t="n"/>
      <c r="C25" s="3" t="n"/>
    </row>
    <row r="26" ht="30" customHeight="1" s="48">
      <c r="B26" s="2" t="n"/>
      <c r="C26" s="3" t="n"/>
    </row>
    <row r="27" ht="15.75" customHeight="1" s="48">
      <c r="B27" s="2" t="n"/>
      <c r="C27" s="3" t="n"/>
    </row>
    <row r="28" ht="30" customHeight="1" s="48">
      <c r="B28" s="10" t="n"/>
    </row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24"/>
  <sheetViews>
    <sheetView workbookViewId="0">
      <selection activeCell="A1" sqref="A1"/>
    </sheetView>
  </sheetViews>
  <sheetFormatPr baseColWidth="8" defaultRowHeight="15"/>
  <cols>
    <col width="42" customWidth="1" style="48" min="1" max="1"/>
    <col width="22" customWidth="1" style="48" min="2" max="2"/>
    <col width="22" customWidth="1" style="48" min="3" max="3"/>
    <col width="22" customWidth="1" style="48" min="4" max="4"/>
    <col width="70" customWidth="1" style="48" min="5" max="5"/>
  </cols>
  <sheetData>
    <row r="2">
      <c r="A2" s="53" t="inlineStr">
        <is>
          <t>Option comparison (formulas reference the three TCO sheets)</t>
        </is>
      </c>
    </row>
    <row r="3">
      <c r="A3" s="54" t="inlineStr">
        <is>
          <t>Metric</t>
        </is>
      </c>
      <c r="B3" s="54" t="inlineStr">
        <is>
          <t>A Modular monolith</t>
        </is>
      </c>
      <c r="C3" s="54" t="inlineStr">
        <is>
          <t>B Service-based</t>
        </is>
      </c>
      <c r="D3" s="54" t="inlineStr">
        <is>
          <t>C Microservices (CTO)</t>
        </is>
      </c>
      <c r="E3" s="54" t="inlineStr">
        <is>
          <t>Comment</t>
        </is>
      </c>
    </row>
    <row r="4">
      <c r="A4" t="inlineStr">
        <is>
          <t>Block 1 Cloud, 5 yrs</t>
        </is>
      </c>
      <c r="B4" s="55">
        <f>'TCO-A Modular Monolith'!J15</f>
        <v/>
      </c>
      <c r="C4" s="55">
        <f>'TCO-B Service-Based'!J15</f>
        <v/>
      </c>
      <c r="D4" s="55">
        <f>'TCO-C Microservices (CTO)'!J15</f>
        <v/>
      </c>
      <c r="E4" t="inlineStr"/>
    </row>
    <row r="5">
      <c r="A5" t="inlineStr">
        <is>
          <t>Block 2 Licences &amp; SaaS, 5 yrs</t>
        </is>
      </c>
      <c r="B5" s="55">
        <f>'TCO-A Modular Monolith'!J24</f>
        <v/>
      </c>
      <c r="C5" s="55">
        <f>'TCO-B Service-Based'!J24</f>
        <v/>
      </c>
      <c r="D5" s="55">
        <f>'TCO-C Microservices (CTO)'!J24</f>
        <v/>
      </c>
      <c r="E5" t="inlineStr"/>
    </row>
    <row r="6">
      <c r="A6" t="inlineStr">
        <is>
          <t>Block 3 Transactions, 5 yrs</t>
        </is>
      </c>
      <c r="B6" s="55">
        <f>'TCO-A Modular Monolith'!J32</f>
        <v/>
      </c>
      <c r="C6" s="55">
        <f>'TCO-B Service-Based'!J32</f>
        <v/>
      </c>
      <c r="D6" s="55">
        <f>'TCO-C Microservices (CTO)'!J32</f>
        <v/>
      </c>
      <c r="E6" t="inlineStr">
        <is>
          <t>Pass-through, ~equal</t>
        </is>
      </c>
    </row>
    <row r="7">
      <c r="A7" t="inlineStr">
        <is>
          <t>Block 4 Team, 5 yrs</t>
        </is>
      </c>
      <c r="B7" s="55">
        <f>'TCO-A Modular Monolith'!J40</f>
        <v/>
      </c>
      <c r="C7" s="55">
        <f>'TCO-B Service-Based'!J40</f>
        <v/>
      </c>
      <c r="D7" s="55">
        <f>'TCO-C Microservices (CTO)'!J40</f>
        <v/>
      </c>
      <c r="E7" t="inlineStr">
        <is>
          <t>Largest differentiator</t>
        </is>
      </c>
    </row>
    <row r="8">
      <c r="A8" t="inlineStr">
        <is>
          <t>Block 5 One-off &amp; compliance, 5 yrs</t>
        </is>
      </c>
      <c r="B8" s="55">
        <f>'TCO-A Modular Monolith'!J48</f>
        <v/>
      </c>
      <c r="C8" s="55">
        <f>'TCO-B Service-Based'!J48</f>
        <v/>
      </c>
      <c r="D8" s="55">
        <f>'TCO-C Microservices (CTO)'!J48</f>
        <v/>
      </c>
      <c r="E8" t="inlineStr"/>
    </row>
    <row r="9">
      <c r="A9" t="inlineStr">
        <is>
          <t>TCO direct, 5 yrs</t>
        </is>
      </c>
      <c r="B9" s="55">
        <f>'TCO-A Modular Monolith'!J51</f>
        <v/>
      </c>
      <c r="C9" s="55">
        <f>'TCO-B Service-Based'!J51</f>
        <v/>
      </c>
      <c r="D9" s="55">
        <f>'TCO-C Microservices (CTO)'!J51</f>
        <v/>
      </c>
      <c r="E9" t="inlineStr"/>
    </row>
    <row r="10">
      <c r="A10" t="inlineStr">
        <is>
          <t>Downtime loss, 5 yrs</t>
        </is>
      </c>
      <c r="B10" s="55">
        <f>'TCO-A Modular Monolith'!J53</f>
        <v/>
      </c>
      <c r="C10" s="55">
        <f>'TCO-B Service-Based'!J53</f>
        <v/>
      </c>
      <c r="D10" s="55">
        <f>'TCO-C Microservices (CTO)'!J53</f>
        <v/>
      </c>
      <c r="E10" t="inlineStr">
        <is>
          <t>At per-option SLO and $650/min</t>
        </is>
      </c>
    </row>
    <row r="11">
      <c r="A11" t="inlineStr">
        <is>
          <t>TCO incl. downtime, 5 yrs</t>
        </is>
      </c>
      <c r="B11" s="55">
        <f>'TCO-A Modular Monolith'!J54</f>
        <v/>
      </c>
      <c r="C11" s="55">
        <f>'TCO-B Service-Based'!J54</f>
        <v/>
      </c>
      <c r="D11" s="55">
        <f>'TCO-C Microservices (CTO)'!J54</f>
        <v/>
      </c>
      <c r="E11" t="inlineStr"/>
    </row>
    <row r="12">
      <c r="A12" t="inlineStr">
        <is>
          <t>NPV of costs, 5 yrs</t>
        </is>
      </c>
      <c r="B12" s="55">
        <f>'TCO-A Modular Monolith'!J56</f>
        <v/>
      </c>
      <c r="C12" s="55">
        <f>'TCO-B Service-Based'!J56</f>
        <v/>
      </c>
      <c r="D12" s="55">
        <f>'TCO-C Microservices (CTO)'!J56</f>
        <v/>
      </c>
      <c r="E12" t="inlineStr"/>
    </row>
    <row r="13">
      <c r="A13" t="inlineStr">
        <is>
          <t>TCO per order, 5 yrs</t>
        </is>
      </c>
      <c r="B13" s="56">
        <f>'TCO-A Modular Monolith'!E65</f>
        <v/>
      </c>
      <c r="C13" s="56">
        <f>'TCO-B Service-Based'!E65</f>
        <v/>
      </c>
      <c r="D13" s="56">
        <f>'TCO-C Microservices (CTO)'!E65</f>
        <v/>
      </c>
      <c r="E13" t="inlineStr"/>
    </row>
    <row r="14">
      <c r="A14" t="inlineStr">
        <is>
          <t>IT cost share of GMV</t>
        </is>
      </c>
      <c r="B14" s="57">
        <f>'TCO-A Modular Monolith'!E67</f>
        <v/>
      </c>
      <c r="C14" s="57">
        <f>'TCO-B Service-Based'!E67</f>
        <v/>
      </c>
      <c r="D14" s="57">
        <f>'TCO-C Microservices (CTO)'!E67</f>
        <v/>
      </c>
      <c r="E14" t="inlineStr"/>
    </row>
    <row r="15">
      <c r="A15" t="inlineStr">
        <is>
          <t>Block 1, $/mo Year 1</t>
        </is>
      </c>
      <c r="B15" s="55">
        <f>'TCO-A Modular Monolith'!E63</f>
        <v/>
      </c>
      <c r="C15" s="55">
        <f>'TCO-B Service-Based'!E63</f>
        <v/>
      </c>
      <c r="D15" s="55">
        <f>'TCO-C Microservices (CTO)'!E63</f>
        <v/>
      </c>
      <c r="E15" t="inlineStr"/>
    </row>
    <row r="16">
      <c r="A16" t="inlineStr">
        <is>
          <t>Block 1+2, $/mo Year 1 (CFO scope)</t>
        </is>
      </c>
      <c r="B16" s="55">
        <f>('TCO-A Modular Monolith'!E15+'TCO-A Modular Monolith'!E24)/12</f>
        <v/>
      </c>
      <c r="C16" s="55">
        <f>('TCO-B Service-Based'!E15+'TCO-B Service-Based'!E24)/12</f>
        <v/>
      </c>
      <c r="D16" s="55">
        <f>('TCO-C Microservices (CTO)'!E15+'TCO-C Microservices (CTO)'!E24)/12</f>
        <v/>
      </c>
      <c r="E16" t="inlineStr">
        <is>
          <t>CFO counts compute, DB, CDN, monitoring, SaaS (A6 p.1)</t>
        </is>
      </c>
    </row>
    <row r="17">
      <c r="A17" t="inlineStr">
        <is>
          <t>CFO $5k cap check</t>
        </is>
      </c>
      <c r="B17" s="55">
        <f>IF(('TCO-A Modular Monolith'!E15+'TCO-A Modular Monolith'!E24)/12&lt;=Assumptions!$C$18,"OK","OVER")</f>
        <v/>
      </c>
      <c r="C17" s="55">
        <f>IF(('TCO-B Service-Based'!E15+'TCO-B Service-Based'!E24)/12&lt;=Assumptions!$C$18,"OK","OVER")</f>
        <v/>
      </c>
      <c r="D17" s="55">
        <f>IF(('TCO-C Microservices (CTO)'!E15+'TCO-C Microservices (CTO)'!E24)/12&lt;=Assumptions!$C$18,"OK","OVER")</f>
        <v/>
      </c>
      <c r="E17" t="inlineStr"/>
    </row>
    <row r="18">
      <c r="A18" t="inlineStr">
        <is>
          <t>Engineers needed in Year 1 (FTE)</t>
        </is>
      </c>
      <c r="B18" s="55" t="n">
        <v>6</v>
      </c>
      <c r="C18" s="55" t="n">
        <v>8</v>
      </c>
      <c r="D18" s="55" t="n">
        <v>14</v>
      </c>
      <c r="E18" t="inlineStr">
        <is>
          <t>Hiring freeze: 6 contractors (A6 p.5)</t>
        </is>
      </c>
    </row>
    <row r="19">
      <c r="A19" t="inlineStr">
        <is>
          <t>Earliest realistic go-live</t>
        </is>
      </c>
      <c r="B19" s="55" t="inlineStr">
        <is>
          <t>15-Oct-2026</t>
        </is>
      </c>
      <c r="C19" s="55" t="inlineStr">
        <is>
          <t>~20-Nov-2026</t>
        </is>
      </c>
      <c r="D19" s="55" t="inlineStr">
        <is>
          <t>~Feb-2027</t>
        </is>
      </c>
      <c r="E19" t="inlineStr">
        <is>
          <t>Task2/options-comparison.md</t>
        </is>
      </c>
    </row>
    <row r="20">
      <c r="B20" s="55" t="n"/>
      <c r="C20" s="55" t="n"/>
      <c r="D20" s="55" t="n"/>
    </row>
    <row r="21">
      <c r="A21" t="inlineStr">
        <is>
          <t>Sensitivity: investor's $12,000/min (A1)</t>
        </is>
      </c>
      <c r="B21" s="55" t="n"/>
      <c r="C21" s="55" t="n"/>
      <c r="D21" s="55" t="n"/>
    </row>
    <row r="22">
      <c r="A22" t="inlineStr">
        <is>
          <t>Downtime loss/yr at $12k/min</t>
        </is>
      </c>
      <c r="B22" s="55">
        <f>(1-'TCO-A Modular Monolith'!$D$53)*525600*12000</f>
        <v/>
      </c>
      <c r="C22" s="55">
        <f>(1-'TCO-B Service-Based'!$D$53)*525600*12000</f>
        <v/>
      </c>
      <c r="D22" s="55">
        <f>(1-'TCO-C Microservices (CTO)'!$D$53)*525600*12000</f>
        <v/>
      </c>
      <c r="E22" t="inlineStr">
        <is>
          <t>99.95% -&gt; $3.15M/yr; 99.99% -&gt; $0.63M/yr</t>
        </is>
      </c>
    </row>
    <row r="23">
      <c r="A23" t="inlineStr">
        <is>
          <t>TCO incl. downtime at $12k/min, 5 yrs</t>
        </is>
      </c>
      <c r="B23" s="55">
        <f>'TCO-A Modular Monolith'!J51+5*(1-'TCO-A Modular Monolith'!$D$53)*525600*12000</f>
        <v/>
      </c>
      <c r="C23" s="55">
        <f>'TCO-B Service-Based'!J51+5*(1-'TCO-B Service-Based'!$D$53)*525600*12000</f>
        <v/>
      </c>
      <c r="D23" s="55">
        <f>'TCO-C Microservices (CTO)'!J51+5*(1-'TCO-C Microservices (CTO)'!$D$53)*525600*12000</f>
        <v/>
      </c>
      <c r="E23" t="inlineStr">
        <is>
          <t>At $12k/min the 4th nine pays back - but $12k/min = $6.3B GMV/yr</t>
        </is>
      </c>
    </row>
    <row r="24">
      <c r="A24" t="inlineStr">
        <is>
          <t>Break-even loss/min for C vs A</t>
        </is>
      </c>
      <c r="B24" s="55" t="n"/>
      <c r="C24" s="55" t="n"/>
      <c r="D24" s="55">
        <f>('TCO-C Microservices (CTO)'!J51-'TCO-A Modular Monolith'!J51)/(5*525600*('TCO-C Microservices (CTO)'!D53-'TCO-A Modular Monolith'!D53))</f>
        <v/>
      </c>
      <c r="E24" t="inlineStr">
        <is>
          <t>Above this $/min C wins incl. downtime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33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8" defaultColWidth="14.43" defaultRowHeight="15" customHeight="1"/>
  <cols>
    <col width="3" customWidth="1" style="48" min="1" max="1"/>
    <col width="42" customWidth="1" style="48" min="2" max="2"/>
    <col width="15" customWidth="1" style="48" min="3" max="7"/>
    <col width="52" customWidth="1" style="48" min="8" max="8"/>
    <col width="8.710000000000001" customWidth="1" style="48" min="9" max="26"/>
  </cols>
  <sheetData>
    <row r="2">
      <c r="B2" s="1" t="inlineStr">
        <is>
          <t>TCO model assumptions - Africa Delivery</t>
        </is>
      </c>
    </row>
    <row r="3">
      <c r="B3" s="6" t="inlineStr">
        <is>
          <t>Only yellow cells are inputs.</t>
        </is>
      </c>
    </row>
    <row r="5">
      <c r="B5" s="7" t="inlineStr">
        <is>
          <t>1. Business drivers</t>
        </is>
      </c>
      <c r="C5" s="8" t="n"/>
      <c r="D5" s="8" t="n"/>
      <c r="E5" s="8" t="n"/>
      <c r="F5" s="8" t="n"/>
      <c r="G5" s="8" t="n"/>
      <c r="H5" s="8" t="n"/>
    </row>
    <row r="6">
      <c r="B6" s="9" t="inlineStr">
        <is>
          <t>Metric</t>
        </is>
      </c>
      <c r="C6" s="9" t="inlineStr">
        <is>
          <t>Year 1</t>
        </is>
      </c>
      <c r="D6" s="9" t="inlineStr">
        <is>
          <t>Year 2</t>
        </is>
      </c>
      <c r="E6" s="9" t="inlineStr">
        <is>
          <t>Year 3</t>
        </is>
      </c>
      <c r="F6" s="9" t="inlineStr">
        <is>
          <t>Year 4</t>
        </is>
      </c>
      <c r="G6" s="9" t="inlineStr">
        <is>
          <t>Year 5</t>
        </is>
      </c>
      <c r="H6" s="9" t="inlineStr">
        <is>
          <t>Comment / source</t>
        </is>
      </c>
    </row>
    <row r="7">
      <c r="B7" s="11" t="inlineStr">
        <is>
          <t>Active users (end of year)</t>
        </is>
      </c>
      <c r="C7" s="12" t="n">
        <v>500000</v>
      </c>
      <c r="D7" s="12" t="n">
        <v>1500000</v>
      </c>
      <c r="E7" s="12" t="n">
        <v>3000000</v>
      </c>
      <c r="F7" s="12" t="n">
        <v>4500000</v>
      </c>
      <c r="G7" s="12" t="n">
        <v>6000000</v>
      </c>
      <c r="H7" s="13" t="inlineStr">
        <is>
          <t>Case goal: 1M+ registered in 12 mo (~50% active); 5 countries by Y1 end. Brief promise '1M buyers in month 1' rejected (Task1 C-06)</t>
        </is>
      </c>
    </row>
    <row r="8">
      <c r="B8" s="11" t="inlineStr">
        <is>
          <t>Orders per year</t>
        </is>
      </c>
      <c r="C8" s="12" t="n">
        <v>600000</v>
      </c>
      <c r="D8" s="12" t="n">
        <v>3000000</v>
      </c>
      <c r="E8" s="12" t="n">
        <v>7500000</v>
      </c>
      <c r="F8" s="12" t="n">
        <v>13500000</v>
      </c>
      <c r="G8" s="12" t="n">
        <v>20000000</v>
      </c>
      <c r="H8" s="13" t="inlineStr">
        <is>
          <t>Pilot: 100 sellers / 5,000 SKU, ~20k orders/mo at launch -&gt; ~100k/mo at month 12</t>
        </is>
      </c>
    </row>
    <row r="9">
      <c r="B9" s="11" t="inlineStr">
        <is>
          <t>Average order value (AOV), $</t>
        </is>
      </c>
      <c r="C9" s="14" t="n">
        <v>22</v>
      </c>
      <c r="D9" s="14" t="n">
        <v>23</v>
      </c>
      <c r="E9" s="14" t="n">
        <v>24</v>
      </c>
      <c r="F9" s="14" t="n">
        <v>25</v>
      </c>
      <c r="G9" s="14" t="n">
        <v>26</v>
      </c>
      <c r="H9" s="13" t="inlineStr">
        <is>
          <t>Low-price positioning (A7 'cheap'); below Jumia/Takealot basket</t>
        </is>
      </c>
    </row>
    <row r="10">
      <c r="B10" s="15" t="inlineStr">
        <is>
          <t>GMV, $ per year (calc)</t>
        </is>
      </c>
      <c r="C10" s="16">
        <f>C8*C9</f>
        <v/>
      </c>
      <c r="D10" s="16">
        <f>D8*D9</f>
        <v/>
      </c>
      <c r="E10" s="16">
        <f>E8*E9</f>
        <v/>
      </c>
      <c r="F10" s="16">
        <f>F8*F9</f>
        <v/>
      </c>
      <c r="G10" s="16">
        <f>G8*G9</f>
        <v/>
      </c>
      <c r="H10" s="13" t="inlineStr">
        <is>
          <t>orders x AOV</t>
        </is>
      </c>
    </row>
    <row r="12">
      <c r="B12" s="7" t="inlineStr">
        <is>
          <t>2. Financial assumptions</t>
        </is>
      </c>
      <c r="C12" s="8" t="n"/>
      <c r="D12" s="8" t="n"/>
      <c r="E12" s="8" t="n"/>
      <c r="F12" s="8" t="n"/>
      <c r="G12" s="8" t="n"/>
      <c r="H12" s="8" t="n"/>
    </row>
    <row r="13">
      <c r="B13" s="9" t="inlineStr">
        <is>
          <t>Parameter</t>
        </is>
      </c>
      <c r="C13" s="9" t="inlineStr">
        <is>
          <t>Value</t>
        </is>
      </c>
      <c r="D13" s="9" t="n"/>
      <c r="E13" s="9" t="n"/>
      <c r="F13" s="9" t="n"/>
      <c r="G13" s="9" t="n"/>
      <c r="H13" s="9" t="inlineStr">
        <is>
          <t>Comment / source</t>
        </is>
      </c>
    </row>
    <row r="14">
      <c r="B14" s="11" t="inlineStr">
        <is>
          <t>Cost inflation, %/yr</t>
        </is>
      </c>
      <c r="C14" s="19" t="n">
        <v>0.08</v>
      </c>
      <c r="H14" s="13" t="inlineStr">
        <is>
          <t>USD-denominated costs</t>
        </is>
      </c>
    </row>
    <row r="15">
      <c r="B15" s="11" t="inlineStr">
        <is>
          <t>Payroll growth, %/yr</t>
        </is>
      </c>
      <c r="C15" s="19" t="n">
        <v>0.12</v>
      </c>
      <c r="H15" s="13" t="inlineStr">
        <is>
          <t>Scarce senior engineers in target markets</t>
        </is>
      </c>
    </row>
    <row r="16">
      <c r="B16" s="11" t="inlineStr">
        <is>
          <t>Discount rate, %/yr</t>
        </is>
      </c>
      <c r="C16" s="19" t="n">
        <v>0.2</v>
      </c>
      <c r="H16" s="13" t="inlineStr">
        <is>
          <t>Start-up risk premium</t>
        </is>
      </c>
    </row>
    <row r="17">
      <c r="B17" s="11" t="inlineStr">
        <is>
          <t>Contingency, %</t>
        </is>
      </c>
      <c r="C17" s="19" t="n">
        <v>0.15</v>
      </c>
      <c r="H17" s="13" t="inlineStr">
        <is>
          <t>On direct costs</t>
        </is>
      </c>
    </row>
    <row r="18">
      <c r="B18" s="11" t="inlineStr">
        <is>
          <t>CFO cap on cloud, $/mo</t>
        </is>
      </c>
      <c r="C18" s="18" t="n">
        <v>5000</v>
      </c>
      <c r="H18" s="13" t="inlineStr">
        <is>
          <t>Artifact 6 p.1: $5,000/mo hard ceiling for 6 months (the $9k figure is board deck incl. martech)</t>
        </is>
      </c>
    </row>
    <row r="19">
      <c r="B19" s="11" t="inlineStr">
        <is>
          <t>Loss per minute of downtime, $</t>
        </is>
      </c>
      <c r="C19" s="18" t="n">
        <v>650</v>
      </c>
      <c r="H19" s="13" t="inlineStr">
        <is>
          <t>GMV-at-risk: 5-yr avg GMV/min $425 x 1.5 peak weighting. Investor's $12,000 (A1, A7) implies $6.3B GMV/yr - see Comparison sensitivity</t>
        </is>
      </c>
    </row>
    <row r="20">
      <c r="B20" s="11" t="inlineStr">
        <is>
          <t>Target SLO (global, unused - per-option SLO in TCO!D53)</t>
        </is>
      </c>
      <c r="C20" s="20" t="n">
        <v>0.9995000000000001</v>
      </c>
      <c r="H20" s="13" t="inlineStr">
        <is>
          <t>Kept for template compatibility</t>
        </is>
      </c>
    </row>
    <row r="21" ht="15.75" customHeight="1" s="48">
      <c r="B21" s="11" t="inlineStr">
        <is>
          <t>Include downtime cost in TCO (1 = yes, 0 = no)</t>
        </is>
      </c>
      <c r="C21" s="21" t="n">
        <v>1</v>
      </c>
      <c r="H21" s="13" t="inlineStr">
        <is>
          <t>Scenario switch</t>
        </is>
      </c>
    </row>
    <row r="22" ht="15.75" customHeight="1" s="48"/>
    <row r="23" ht="15.75" customHeight="1" s="48">
      <c r="B23" s="7" t="inlineStr">
        <is>
          <t>3. Growth indices - calculated</t>
        </is>
      </c>
      <c r="C23" s="8" t="n"/>
      <c r="D23" s="8" t="n"/>
      <c r="E23" s="8" t="n"/>
      <c r="F23" s="8" t="n"/>
      <c r="G23" s="8" t="n"/>
      <c r="H23" s="8" t="n"/>
    </row>
    <row r="24" ht="15.75" customHeight="1" s="48">
      <c r="B24" s="9" t="inlineStr">
        <is>
          <t>Driver</t>
        </is>
      </c>
      <c r="C24" s="9" t="inlineStr">
        <is>
          <t>Year 1</t>
        </is>
      </c>
      <c r="D24" s="9" t="inlineStr">
        <is>
          <t>Year 2</t>
        </is>
      </c>
      <c r="E24" s="9" t="inlineStr">
        <is>
          <t>Year 3</t>
        </is>
      </c>
      <c r="F24" s="9" t="inlineStr">
        <is>
          <t>Year 4</t>
        </is>
      </c>
      <c r="G24" s="9" t="inlineStr">
        <is>
          <t>Year 5</t>
        </is>
      </c>
      <c r="H24" s="9" t="inlineStr">
        <is>
          <t>How</t>
        </is>
      </c>
    </row>
    <row r="25" ht="15.75" customHeight="1" s="48">
      <c r="B25" s="11" t="inlineStr">
        <is>
          <t>fixed</t>
        </is>
      </c>
      <c r="C25" s="22" t="n">
        <v>1</v>
      </c>
      <c r="D25" s="22" t="n">
        <v>1</v>
      </c>
      <c r="E25" s="22" t="n">
        <v>1</v>
      </c>
      <c r="F25" s="22" t="n">
        <v>1</v>
      </c>
      <c r="G25" s="22" t="n">
        <v>1</v>
      </c>
      <c r="H25" s="13" t="inlineStr">
        <is>
          <t>Constant</t>
        </is>
      </c>
    </row>
    <row r="26" ht="15.75" customHeight="1" s="48">
      <c r="B26" s="11" t="inlineStr">
        <is>
          <t>inflation</t>
        </is>
      </c>
      <c r="C26" s="22" t="n">
        <v>1</v>
      </c>
      <c r="D26" s="22">
        <f>C26*(1+$C$14)</f>
        <v/>
      </c>
      <c r="E26" s="22">
        <f>D26*(1+$C$14)</f>
        <v/>
      </c>
      <c r="F26" s="22">
        <f>E26*(1+$C$14)</f>
        <v/>
      </c>
      <c r="G26" s="22">
        <f>F26*(1+$C$14)</f>
        <v/>
      </c>
      <c r="H26" s="13" t="inlineStr">
        <is>
          <t>Year N = Year N-1 x (1 + inflation)</t>
        </is>
      </c>
    </row>
    <row r="27" ht="15.75" customHeight="1" s="48">
      <c r="B27" s="11" t="inlineStr">
        <is>
          <t>payroll</t>
        </is>
      </c>
      <c r="C27" s="22" t="n">
        <v>1</v>
      </c>
      <c r="D27" s="22">
        <f>C27*(1+$C$15)</f>
        <v/>
      </c>
      <c r="E27" s="22">
        <f>D27*(1+$C$15)</f>
        <v/>
      </c>
      <c r="F27" s="22">
        <f>E27*(1+$C$15)</f>
        <v/>
      </c>
      <c r="G27" s="22">
        <f>F27*(1+$C$15)</f>
        <v/>
      </c>
      <c r="H27" s="13" t="inlineStr">
        <is>
          <t>Year N = Year N-1 x (1 + payroll growth)</t>
        </is>
      </c>
    </row>
    <row r="28" ht="15.75" customHeight="1" s="48">
      <c r="B28" s="11" t="inlineStr">
        <is>
          <t>users</t>
        </is>
      </c>
      <c r="C28" s="22">
        <f>C7/$C$7</f>
        <v/>
      </c>
      <c r="D28" s="22">
        <f>D7/$C$7</f>
        <v/>
      </c>
      <c r="E28" s="22">
        <f>E7/$C$7</f>
        <v/>
      </c>
      <c r="F28" s="22">
        <f>F7/$C$7</f>
        <v/>
      </c>
      <c r="G28" s="22">
        <f>G7/$C$7</f>
        <v/>
      </c>
      <c r="H28" s="13" t="inlineStr">
        <is>
          <t>Proportional to active users</t>
        </is>
      </c>
    </row>
    <row r="29" ht="15.75" customHeight="1" s="48">
      <c r="B29" s="11" t="inlineStr">
        <is>
          <t>orders</t>
        </is>
      </c>
      <c r="C29" s="22">
        <f>C8/$C$8</f>
        <v/>
      </c>
      <c r="D29" s="22">
        <f>D8/$C$8</f>
        <v/>
      </c>
      <c r="E29" s="22">
        <f>E8/$C$8</f>
        <v/>
      </c>
      <c r="F29" s="22">
        <f>F8/$C$8</f>
        <v/>
      </c>
      <c r="G29" s="22">
        <f>G8/$C$8</f>
        <v/>
      </c>
      <c r="H29" s="13" t="inlineStr">
        <is>
          <t>Proportional to orders</t>
        </is>
      </c>
    </row>
    <row r="30" ht="15.75" customHeight="1" s="48">
      <c r="B30" s="11" t="inlineStr">
        <is>
          <t>GMV</t>
        </is>
      </c>
      <c r="C30" s="22">
        <f>C10/$C$10</f>
        <v/>
      </c>
      <c r="D30" s="22">
        <f>D10/$C$10</f>
        <v/>
      </c>
      <c r="E30" s="22">
        <f>E10/$C$10</f>
        <v/>
      </c>
      <c r="F30" s="22">
        <f>F10/$C$10</f>
        <v/>
      </c>
      <c r="G30" s="22">
        <f>G10/$C$10</f>
        <v/>
      </c>
      <c r="H30" s="13" t="inlineStr">
        <is>
          <t>Proportional to GMV</t>
        </is>
      </c>
    </row>
    <row r="31" ht="15.75" customHeight="1" s="48"/>
    <row r="32" ht="15" customHeight="1" s="48">
      <c r="B32" s="13" t="inlineStr">
        <is>
          <t>The 'users' driver is a simplification: real cloud cost is sub-linear (economies of scale), so Years 3-5 infra is a conservative upper bound.</t>
        </is>
      </c>
    </row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">
    <mergeCell ref="B32:H33"/>
  </mergeCell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8" defaultColWidth="14.43" defaultRowHeight="15" customHeight="1"/>
  <cols>
    <col width="3" customWidth="1" style="48" min="1" max="1"/>
    <col width="44" customWidth="1" style="48" min="2" max="2"/>
    <col width="16" customWidth="1" style="48" min="3" max="3"/>
    <col width="15" customWidth="1" style="48" min="4" max="4"/>
    <col width="14" customWidth="1" style="48" min="5" max="10"/>
    <col width="10" customWidth="1" style="48" min="11" max="11"/>
    <col width="46" customWidth="1" style="48" min="12" max="12"/>
    <col width="8.710000000000001" customWidth="1" style="48" min="13" max="26"/>
  </cols>
  <sheetData>
    <row r="1">
      <c r="B1" s="53" t="inlineStr">
        <is>
          <t>Option A - Modular monolith (Go) + managed PostgreSQL + Buy/Partner integrations</t>
        </is>
      </c>
    </row>
    <row r="2">
      <c r="B2" s="1" t="inlineStr">
        <is>
          <t>5-year TCO - Africa Delivery</t>
        </is>
      </c>
    </row>
    <row r="3">
      <c r="B3" s="6" t="inlineStr">
        <is>
          <t>Inputs: 'Growth driver' and 'Base, $/yr (Year 1)'. Years 1-5 are calculated.</t>
        </is>
      </c>
    </row>
    <row r="4"/>
    <row r="5" ht="31.5" customHeight="1" s="48">
      <c r="B5" s="9" t="inlineStr">
        <is>
          <t>Cost item</t>
        </is>
      </c>
      <c r="C5" s="9" t="inlineStr">
        <is>
          <t>Growth driver</t>
        </is>
      </c>
      <c r="D5" s="9" t="inlineStr">
        <is>
          <t>Base, $/yr (Year 1)</t>
        </is>
      </c>
      <c r="E5" s="9" t="inlineStr">
        <is>
          <t>Year 1</t>
        </is>
      </c>
      <c r="F5" s="9" t="inlineStr">
        <is>
          <t>Year 2</t>
        </is>
      </c>
      <c r="G5" s="9" t="inlineStr">
        <is>
          <t>Year 3</t>
        </is>
      </c>
      <c r="H5" s="9" t="inlineStr">
        <is>
          <t>Year 4</t>
        </is>
      </c>
      <c r="I5" s="9" t="inlineStr">
        <is>
          <t>Year 5</t>
        </is>
      </c>
      <c r="J5" s="9" t="inlineStr">
        <is>
          <t>Total 5 yrs</t>
        </is>
      </c>
      <c r="K5" s="9" t="inlineStr">
        <is>
          <t>Share</t>
        </is>
      </c>
      <c r="L5" s="9" t="inlineStr">
        <is>
          <t>Comment / source</t>
        </is>
      </c>
    </row>
    <row r="6">
      <c r="B6" s="7" t="inlineStr">
        <is>
          <t>BLOCK 1. Cloud infrastructure (OpEx)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B7" s="11" t="inlineStr">
        <is>
          <t>Compute: managed Kubernetes nodes</t>
        </is>
      </c>
      <c r="C7" s="17" t="inlineStr">
        <is>
          <t>users</t>
        </is>
      </c>
      <c r="D7" s="18" t="n">
        <v>10800</v>
      </c>
      <c r="E7" s="23">
        <f>IF($D7="","",$D7*INDEX(Assumptions!$C$25:$G$30,MATCH($C7,Assumptions!$B$25:$B$30,0),1))</f>
        <v/>
      </c>
      <c r="F7" s="23">
        <f>IF($D7="","",$D7*INDEX(Assumptions!$C$25:$G$30,MATCH($C7,Assumptions!$B$25:$B$30,0),2))</f>
        <v/>
      </c>
      <c r="G7" s="23">
        <f>IF($D7="","",$D7*INDEX(Assumptions!$C$25:$G$30,MATCH($C7,Assumptions!$B$25:$B$30,0),3))</f>
        <v/>
      </c>
      <c r="H7" s="23">
        <f>IF($D7="","",$D7*INDEX(Assumptions!$C$25:$G$30,MATCH($C7,Assumptions!$B$25:$B$30,0),4))</f>
        <v/>
      </c>
      <c r="I7" s="23">
        <f>IF($D7="","",$D7*INDEX(Assumptions!$C$25:$G$30,MATCH($C7,Assumptions!$B$25:$B$30,0),5))</f>
        <v/>
      </c>
      <c r="J7" s="23">
        <f>SUM(E7:I7)</f>
        <v/>
      </c>
      <c r="K7" s="24" t="n"/>
      <c r="L7" s="25" t="inlineStr">
        <is>
          <t>GKE africa-south1 (regional): 3 x n2d-standard-4 (sustained-use discount, no commitment); api x3 + worker + channels</t>
        </is>
      </c>
    </row>
    <row r="8">
      <c r="B8" s="11" t="inlineStr">
        <is>
          <t>Managed PostgreSQL (Multi-AZ + read replica)</t>
        </is>
      </c>
      <c r="C8" s="17" t="inlineStr">
        <is>
          <t>users</t>
        </is>
      </c>
      <c r="D8" s="18" t="n">
        <v>8400</v>
      </c>
      <c r="E8" s="23">
        <f>IF($D8="","",$D8*INDEX(Assumptions!$C$25:$G$30,MATCH($C8,Assumptions!$B$25:$B$30,0),1))</f>
        <v/>
      </c>
      <c r="F8" s="23">
        <f>IF($D8="","",$D8*INDEX(Assumptions!$C$25:$G$30,MATCH($C8,Assumptions!$B$25:$B$30,0),2))</f>
        <v/>
      </c>
      <c r="G8" s="23">
        <f>IF($D8="","",$D8*INDEX(Assumptions!$C$25:$G$30,MATCH($C8,Assumptions!$B$25:$B$30,0),3))</f>
        <v/>
      </c>
      <c r="H8" s="23">
        <f>IF($D8="","",$D8*INDEX(Assumptions!$C$25:$G$30,MATCH($C8,Assumptions!$B$25:$B$30,0),4))</f>
        <v/>
      </c>
      <c r="I8" s="23">
        <f>IF($D8="","",$D8*INDEX(Assumptions!$C$25:$G$30,MATCH($C8,Assumptions!$B$25:$B$30,0),5))</f>
        <v/>
      </c>
      <c r="J8" s="23">
        <f>SUM(E8:I8)</f>
        <v/>
      </c>
      <c r="K8" s="24" t="n"/>
      <c r="L8" s="25" t="inlineStr">
        <is>
          <t>Cloud SQL PostgreSQL HA (4 vCPU/16 GB) + 1 read replica</t>
        </is>
      </c>
    </row>
    <row r="9">
      <c r="B9" s="11" t="inlineStr">
        <is>
          <t>Object storage &amp; backups</t>
        </is>
      </c>
      <c r="C9" s="17" t="inlineStr">
        <is>
          <t>users</t>
        </is>
      </c>
      <c r="D9" s="18" t="n">
        <v>1800</v>
      </c>
      <c r="E9" s="23">
        <f>IF($D9="","",$D9*INDEX(Assumptions!$C$25:$G$30,MATCH($C9,Assumptions!$B$25:$B$30,0),1))</f>
        <v/>
      </c>
      <c r="F9" s="23">
        <f>IF($D9="","",$D9*INDEX(Assumptions!$C$25:$G$30,MATCH($C9,Assumptions!$B$25:$B$30,0),2))</f>
        <v/>
      </c>
      <c r="G9" s="23">
        <f>IF($D9="","",$D9*INDEX(Assumptions!$C$25:$G$30,MATCH($C9,Assumptions!$B$25:$B$30,0),3))</f>
        <v/>
      </c>
      <c r="H9" s="23">
        <f>IF($D9="","",$D9*INDEX(Assumptions!$C$25:$G$30,MATCH($C9,Assumptions!$B$25:$B$30,0),4))</f>
        <v/>
      </c>
      <c r="I9" s="23">
        <f>IF($D9="","",$D9*INDEX(Assumptions!$C$25:$G$30,MATCH($C9,Assumptions!$B$25:$B$30,0),5))</f>
        <v/>
      </c>
      <c r="J9" s="23">
        <f>SUM(E9:I9)</f>
        <v/>
      </c>
      <c r="K9" s="24" t="n"/>
      <c r="L9" s="25" t="inlineStr">
        <is>
          <t>Cloud Storage: 5,000 SKU x 6 photos (WebP variants) + PITR backups</t>
        </is>
      </c>
    </row>
    <row r="10">
      <c r="B10" s="11" t="inlineStr">
        <is>
          <t>CDN &amp; egress</t>
        </is>
      </c>
      <c r="C10" s="17" t="inlineStr">
        <is>
          <t>users</t>
        </is>
      </c>
      <c r="D10" s="18" t="n">
        <v>4800</v>
      </c>
      <c r="E10" s="23">
        <f>IF($D10="","",$D10*INDEX(Assumptions!$C$25:$G$30,MATCH($C10,Assumptions!$B$25:$B$30,0),1))</f>
        <v/>
      </c>
      <c r="F10" s="23">
        <f>IF($D10="","",$D10*INDEX(Assumptions!$C$25:$G$30,MATCH($C10,Assumptions!$B$25:$B$30,0),2))</f>
        <v/>
      </c>
      <c r="G10" s="23">
        <f>IF($D10="","",$D10*INDEX(Assumptions!$C$25:$G$30,MATCH($C10,Assumptions!$B$25:$B$30,0),3))</f>
        <v/>
      </c>
      <c r="H10" s="23">
        <f>IF($D10="","",$D10*INDEX(Assumptions!$C$25:$G$30,MATCH($C10,Assumptions!$B$25:$B$30,0),4))</f>
        <v/>
      </c>
      <c r="I10" s="23">
        <f>IF($D10="","",$D10*INDEX(Assumptions!$C$25:$G$30,MATCH($C10,Assumptions!$B$25:$B$30,0),5))</f>
        <v/>
      </c>
      <c r="J10" s="23">
        <f>SUM(E10:I10)</f>
        <v/>
      </c>
      <c r="K10" s="24" t="n"/>
      <c r="L10" s="25" t="inlineStr">
        <is>
          <t>Cloudflare Pro + image resizing; PoPs in Lagos/Nairobi</t>
        </is>
      </c>
    </row>
    <row r="11">
      <c r="B11" s="11" t="inlineStr">
        <is>
          <t>Queues / async jobs</t>
        </is>
      </c>
      <c r="C11" s="17" t="inlineStr">
        <is>
          <t>users</t>
        </is>
      </c>
      <c r="D11" s="18" t="n">
        <v>1200</v>
      </c>
      <c r="E11" s="23">
        <f>IF($D11="","",$D11*INDEX(Assumptions!$C$25:$G$30,MATCH($C11,Assumptions!$B$25:$B$30,0),1))</f>
        <v/>
      </c>
      <c r="F11" s="23">
        <f>IF($D11="","",$D11*INDEX(Assumptions!$C$25:$G$30,MATCH($C11,Assumptions!$B$25:$B$30,0),2))</f>
        <v/>
      </c>
      <c r="G11" s="23">
        <f>IF($D11="","",$D11*INDEX(Assumptions!$C$25:$G$30,MATCH($C11,Assumptions!$B$25:$B$30,0),3))</f>
        <v/>
      </c>
      <c r="H11" s="23">
        <f>IF($D11="","",$D11*INDEX(Assumptions!$C$25:$G$30,MATCH($C11,Assumptions!$B$25:$B$30,0),4))</f>
        <v/>
      </c>
      <c r="I11" s="23">
        <f>IF($D11="","",$D11*INDEX(Assumptions!$C$25:$G$30,MATCH($C11,Assumptions!$B$25:$B$30,0),5))</f>
        <v/>
      </c>
      <c r="J11" s="23">
        <f>SUM(E11:I11)</f>
        <v/>
      </c>
      <c r="K11" s="24" t="n"/>
      <c r="L11" s="25" t="inlineStr">
        <is>
          <t>Postgres outbox + Pub/Sub; no Kafka at MVP</t>
        </is>
      </c>
    </row>
    <row r="12">
      <c r="B12" s="11" t="inlineStr">
        <is>
          <t>DR: pilot light in 2nd provider</t>
        </is>
      </c>
      <c r="C12" s="17" t="inlineStr">
        <is>
          <t>inflation</t>
        </is>
      </c>
      <c r="D12" s="18" t="n">
        <v>3000</v>
      </c>
      <c r="E12" s="23">
        <f>IF($D12="","",$D12*INDEX(Assumptions!$C$25:$G$30,MATCH($C12,Assumptions!$B$25:$B$30,0),1))</f>
        <v/>
      </c>
      <c r="F12" s="23">
        <f>IF($D12="","",$D12*INDEX(Assumptions!$C$25:$G$30,MATCH($C12,Assumptions!$B$25:$B$30,0),2))</f>
        <v/>
      </c>
      <c r="G12" s="23">
        <f>IF($D12="","",$D12*INDEX(Assumptions!$C$25:$G$30,MATCH($C12,Assumptions!$B$25:$B$30,0),3))</f>
        <v/>
      </c>
      <c r="H12" s="23">
        <f>IF($D12="","",$D12*INDEX(Assumptions!$C$25:$G$30,MATCH($C12,Assumptions!$B$25:$B$30,0),4))</f>
        <v/>
      </c>
      <c r="I12" s="23">
        <f>IF($D12="","",$D12*INDEX(Assumptions!$C$25:$G$30,MATCH($C12,Assumptions!$B$25:$B$30,0),5))</f>
        <v/>
      </c>
      <c r="J12" s="23">
        <f>SUM(E12:I12)</f>
        <v/>
      </c>
      <c r="K12" s="24" t="n"/>
      <c r="L12" s="25" t="inlineStr">
        <is>
          <t>Encrypted backups + IaC in AWS af-south-1 (Cape Town) - ADR-003</t>
        </is>
      </c>
    </row>
    <row r="13">
      <c r="B13" s="11" t="inlineStr">
        <is>
          <t>Data residency: in-country PII vaults (NG, KE)</t>
        </is>
      </c>
      <c r="C13" s="17" t="inlineStr">
        <is>
          <t>inflation</t>
        </is>
      </c>
      <c r="D13" s="18" t="n">
        <v>8400</v>
      </c>
      <c r="E13" s="23">
        <f>IF($D13="","",$D13*INDEX(Assumptions!$C$25:$G$30,MATCH($C13,Assumptions!$B$25:$B$30,0),1))</f>
        <v/>
      </c>
      <c r="F13" s="23">
        <f>IF($D13="","",$D13*INDEX(Assumptions!$C$25:$G$30,MATCH($C13,Assumptions!$B$25:$B$30,0),2))</f>
        <v/>
      </c>
      <c r="G13" s="23">
        <f>IF($D13="","",$D13*INDEX(Assumptions!$C$25:$G$30,MATCH($C13,Assumptions!$B$25:$B$30,0),3))</f>
        <v/>
      </c>
      <c r="H13" s="23">
        <f>IF($D13="","",$D13*INDEX(Assumptions!$C$25:$G$30,MATCH($C13,Assumptions!$B$25:$B$30,0),4))</f>
        <v/>
      </c>
      <c r="I13" s="23">
        <f>IF($D13="","",$D13*INDEX(Assumptions!$C$25:$G$30,MATCH($C13,Assumptions!$B$25:$B$30,0),5))</f>
        <v/>
      </c>
      <c r="J13" s="23">
        <f>SUM(E13:I13)</f>
        <v/>
      </c>
      <c r="K13" s="24" t="n"/>
      <c r="L13" s="25" t="inlineStr">
        <is>
          <t>2 small VMs + backup on local providers (Lagos, Nairobi) - ADR-003</t>
        </is>
      </c>
    </row>
    <row r="14">
      <c r="B14" s="11" t="inlineStr">
        <is>
          <t>Cache: managed Redis (Multi-AZ)</t>
        </is>
      </c>
      <c r="C14" s="17" t="inlineStr">
        <is>
          <t>users</t>
        </is>
      </c>
      <c r="D14" s="18" t="n">
        <v>2400</v>
      </c>
      <c r="E14" s="23">
        <f>IF($D14="","",$D14*INDEX(Assumptions!$C$25:$G$30,MATCH($C14,Assumptions!$B$25:$B$30,0),1))</f>
        <v/>
      </c>
      <c r="F14" s="23">
        <f>IF($D14="","",$D14*INDEX(Assumptions!$C$25:$G$30,MATCH($C14,Assumptions!$B$25:$B$30,0),2))</f>
        <v/>
      </c>
      <c r="G14" s="23">
        <f>IF($D14="","",$D14*INDEX(Assumptions!$C$25:$G$30,MATCH($C14,Assumptions!$B$25:$B$30,0),3))</f>
        <v/>
      </c>
      <c r="H14" s="23">
        <f>IF($D14="","",$D14*INDEX(Assumptions!$C$25:$G$30,MATCH($C14,Assumptions!$B$25:$B$30,0),4))</f>
        <v/>
      </c>
      <c r="I14" s="23">
        <f>IF($D14="","",$D14*INDEX(Assumptions!$C$25:$G$30,MATCH($C14,Assumptions!$B$25:$B$30,0),5))</f>
        <v/>
      </c>
      <c r="J14" s="23">
        <f>SUM(E14:I14)</f>
        <v/>
      </c>
      <c r="K14" s="24" t="n"/>
      <c r="L14" s="25" t="inlineStr">
        <is>
          <t>Memorystore Redis Standard (HA) 2 GB - ADR-002</t>
        </is>
      </c>
    </row>
    <row r="15">
      <c r="B15" s="26" t="inlineStr">
        <is>
          <t>Block total</t>
        </is>
      </c>
      <c r="C15" s="27" t="n"/>
      <c r="D15" s="27" t="n"/>
      <c r="E15" s="28">
        <f>SUM(E7:E14)</f>
        <v/>
      </c>
      <c r="F15" s="28">
        <f>SUM(F7:F14)</f>
        <v/>
      </c>
      <c r="G15" s="28">
        <f>SUM(G7:G14)</f>
        <v/>
      </c>
      <c r="H15" s="28">
        <f>SUM(H7:H14)</f>
        <v/>
      </c>
      <c r="I15" s="28">
        <f>SUM(I7:I14)</f>
        <v/>
      </c>
      <c r="J15" s="28">
        <f>SUM(J7:J14)</f>
        <v/>
      </c>
      <c r="K15" s="29">
        <f>IFERROR(J15/$J$51,0)</f>
        <v/>
      </c>
      <c r="L15" s="27" t="n"/>
    </row>
    <row r="16">
      <c r="C16" s="30" t="n"/>
    </row>
    <row r="17">
      <c r="B17" s="7" t="inlineStr">
        <is>
          <t>BLOCK 2. Licences, SaaS &amp; tools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</row>
    <row r="18">
      <c r="B18" s="11" t="inlineStr">
        <is>
          <t>Observability (metrics, logs, traces)</t>
        </is>
      </c>
      <c r="C18" s="17" t="inlineStr">
        <is>
          <t>users</t>
        </is>
      </c>
      <c r="D18" s="18" t="n">
        <v>2400</v>
      </c>
      <c r="E18" s="23">
        <f>IF($D18="","",$D18*INDEX(Assumptions!$C$25:$G$30,MATCH($C18,Assumptions!$B$25:$B$30,0),1))</f>
        <v/>
      </c>
      <c r="F18" s="23">
        <f>IF($D18="","",$D18*INDEX(Assumptions!$C$25:$G$30,MATCH($C18,Assumptions!$B$25:$B$30,0),2))</f>
        <v/>
      </c>
      <c r="G18" s="23">
        <f>IF($D18="","",$D18*INDEX(Assumptions!$C$25:$G$30,MATCH($C18,Assumptions!$B$25:$B$30,0),3))</f>
        <v/>
      </c>
      <c r="H18" s="23">
        <f>IF($D18="","",$D18*INDEX(Assumptions!$C$25:$G$30,MATCH($C18,Assumptions!$B$25:$B$30,0),4))</f>
        <v/>
      </c>
      <c r="I18" s="23">
        <f>IF($D18="","",$D18*INDEX(Assumptions!$C$25:$G$30,MATCH($C18,Assumptions!$B$25:$B$30,0),5))</f>
        <v/>
      </c>
      <c r="J18" s="23">
        <f>SUM(E18:I18)</f>
        <v/>
      </c>
      <c r="K18" s="24" t="n"/>
      <c r="L18" s="25" t="inlineStr">
        <is>
          <t>Grafana Cloud Pro usage-based; OpenTelemetry SDK</t>
        </is>
      </c>
    </row>
    <row r="19">
      <c r="B19" s="11" t="inlineStr">
        <is>
          <t>CI/CD, repo, artifacts</t>
        </is>
      </c>
      <c r="C19" s="17" t="inlineStr">
        <is>
          <t>inflation</t>
        </is>
      </c>
      <c r="D19" s="18" t="n">
        <v>1200</v>
      </c>
      <c r="E19" s="23">
        <f>IF($D19="","",$D19*INDEX(Assumptions!$C$25:$G$30,MATCH($C19,Assumptions!$B$25:$B$30,0),1))</f>
        <v/>
      </c>
      <c r="F19" s="23">
        <f>IF($D19="","",$D19*INDEX(Assumptions!$C$25:$G$30,MATCH($C19,Assumptions!$B$25:$B$30,0),2))</f>
        <v/>
      </c>
      <c r="G19" s="23">
        <f>IF($D19="","",$D19*INDEX(Assumptions!$C$25:$G$30,MATCH($C19,Assumptions!$B$25:$B$30,0),3))</f>
        <v/>
      </c>
      <c r="H19" s="23">
        <f>IF($D19="","",$D19*INDEX(Assumptions!$C$25:$G$30,MATCH($C19,Assumptions!$B$25:$B$30,0),4))</f>
        <v/>
      </c>
      <c r="I19" s="23">
        <f>IF($D19="","",$D19*INDEX(Assumptions!$C$25:$G$30,MATCH($C19,Assumptions!$B$25:$B$30,0),5))</f>
        <v/>
      </c>
      <c r="J19" s="23">
        <f>SUM(E19:I19)</f>
        <v/>
      </c>
      <c r="K19" s="24" t="n"/>
      <c r="L19" s="25" t="inlineStr">
        <is>
          <t>GitHub Team x10 + Actions; ArgoCD self-hosted</t>
        </is>
      </c>
    </row>
    <row r="20">
      <c r="B20" s="11" t="inlineStr">
        <is>
          <t>Security: WAF, secrets, error tracking</t>
        </is>
      </c>
      <c r="C20" s="17" t="inlineStr">
        <is>
          <t>users</t>
        </is>
      </c>
      <c r="D20" s="18" t="n">
        <v>1800</v>
      </c>
      <c r="E20" s="23">
        <f>IF($D20="","",$D20*INDEX(Assumptions!$C$25:$G$30,MATCH($C20,Assumptions!$B$25:$B$30,0),1))</f>
        <v/>
      </c>
      <c r="F20" s="23">
        <f>IF($D20="","",$D20*INDEX(Assumptions!$C$25:$G$30,MATCH($C20,Assumptions!$B$25:$B$30,0),2))</f>
        <v/>
      </c>
      <c r="G20" s="23">
        <f>IF($D20="","",$D20*INDEX(Assumptions!$C$25:$G$30,MATCH($C20,Assumptions!$B$25:$B$30,0),3))</f>
        <v/>
      </c>
      <c r="H20" s="23">
        <f>IF($D20="","",$D20*INDEX(Assumptions!$C$25:$G$30,MATCH($C20,Assumptions!$B$25:$B$30,0),4))</f>
        <v/>
      </c>
      <c r="I20" s="23">
        <f>IF($D20="","",$D20*INDEX(Assumptions!$C$25:$G$30,MATCH($C20,Assumptions!$B$25:$B$30,0),5))</f>
        <v/>
      </c>
      <c r="J20" s="23">
        <f>SUM(E20:I20)</f>
        <v/>
      </c>
      <c r="K20" s="24" t="n"/>
      <c r="L20" s="25" t="inlineStr">
        <is>
          <t>Cloudflare WAF, Cloud KMS/Secret Manager, Sentry Team</t>
        </is>
      </c>
    </row>
    <row r="21" ht="15.75" customHeight="1" s="48">
      <c r="B21" s="11" t="inlineStr">
        <is>
          <t>WhatsApp Business API (BSP subscription)</t>
        </is>
      </c>
      <c r="C21" s="17" t="inlineStr">
        <is>
          <t>inflation</t>
        </is>
      </c>
      <c r="D21" s="18" t="n">
        <v>1200</v>
      </c>
      <c r="E21" s="23">
        <f>IF($D21="","",$D21*INDEX(Assumptions!$C$25:$G$30,MATCH($C21,Assumptions!$B$25:$B$30,0),1))</f>
        <v/>
      </c>
      <c r="F21" s="23">
        <f>IF($D21="","",$D21*INDEX(Assumptions!$C$25:$G$30,MATCH($C21,Assumptions!$B$25:$B$30,0),2))</f>
        <v/>
      </c>
      <c r="G21" s="23">
        <f>IF($D21="","",$D21*INDEX(Assumptions!$C$25:$G$30,MATCH($C21,Assumptions!$B$25:$B$30,0),3))</f>
        <v/>
      </c>
      <c r="H21" s="23">
        <f>IF($D21="","",$D21*INDEX(Assumptions!$C$25:$G$30,MATCH($C21,Assumptions!$B$25:$B$30,0),4))</f>
        <v/>
      </c>
      <c r="I21" s="23">
        <f>IF($D21="","",$D21*INDEX(Assumptions!$C$25:$G$30,MATCH($C21,Assumptions!$B$25:$B$30,0),5))</f>
        <v/>
      </c>
      <c r="J21" s="23">
        <f>SUM(E21:I21)</f>
        <v/>
      </c>
      <c r="K21" s="24" t="n"/>
      <c r="L21" s="25" t="inlineStr">
        <is>
          <t>2 numbers (NG, KE)</t>
        </is>
      </c>
    </row>
    <row r="22" ht="15.75" customHeight="1" s="48">
      <c r="B22" s="11" t="inlineStr">
        <is>
          <t>Other SaaS</t>
        </is>
      </c>
      <c r="C22" s="17" t="inlineStr">
        <is>
          <t>inflation</t>
        </is>
      </c>
      <c r="D22" s="18" t="n">
        <v>1800</v>
      </c>
      <c r="E22" s="23">
        <f>IF($D22="","",$D22*INDEX(Assumptions!$C$25:$G$30,MATCH($C22,Assumptions!$B$25:$B$30,0),1))</f>
        <v/>
      </c>
      <c r="F22" s="23">
        <f>IF($D22="","",$D22*INDEX(Assumptions!$C$25:$G$30,MATCH($C22,Assumptions!$B$25:$B$30,0),2))</f>
        <v/>
      </c>
      <c r="G22" s="23">
        <f>IF($D22="","",$D22*INDEX(Assumptions!$C$25:$G$30,MATCH($C22,Assumptions!$B$25:$B$30,0),3))</f>
        <v/>
      </c>
      <c r="H22" s="23">
        <f>IF($D22="","",$D22*INDEX(Assumptions!$C$25:$G$30,MATCH($C22,Assumptions!$B$25:$B$30,0),4))</f>
        <v/>
      </c>
      <c r="I22" s="23">
        <f>IF($D22="","",$D22*INDEX(Assumptions!$C$25:$G$30,MATCH($C22,Assumptions!$B$25:$B$30,0),5))</f>
        <v/>
      </c>
      <c r="J22" s="23">
        <f>SUM(E22:I22)</f>
        <v/>
      </c>
      <c r="K22" s="24" t="n"/>
      <c r="L22" s="25" t="inlineStr">
        <is>
          <t>Tracker, Figma; Metabase self-hosted</t>
        </is>
      </c>
    </row>
    <row r="23" ht="15.75" customHeight="1" s="48">
      <c r="B23" s="11" t="n"/>
      <c r="C23" s="17" t="inlineStr">
        <is>
          <t>fixed</t>
        </is>
      </c>
      <c r="D23" s="18" t="n"/>
      <c r="E23" s="23">
        <f>IF($D23="","",$D23*INDEX(Assumptions!$C$25:$G$30,MATCH($C23,Assumptions!$B$25:$B$30,0),1))</f>
        <v/>
      </c>
      <c r="F23" s="23">
        <f>IF($D23="","",$D23*INDEX(Assumptions!$C$25:$G$30,MATCH($C23,Assumptions!$B$25:$B$30,0),2))</f>
        <v/>
      </c>
      <c r="G23" s="23">
        <f>IF($D23="","",$D23*INDEX(Assumptions!$C$25:$G$30,MATCH($C23,Assumptions!$B$25:$B$30,0),3))</f>
        <v/>
      </c>
      <c r="H23" s="23">
        <f>IF($D23="","",$D23*INDEX(Assumptions!$C$25:$G$30,MATCH($C23,Assumptions!$B$25:$B$30,0),4))</f>
        <v/>
      </c>
      <c r="I23" s="23">
        <f>IF($D23="","",$D23*INDEX(Assumptions!$C$25:$G$30,MATCH($C23,Assumptions!$B$25:$B$30,0),5))</f>
        <v/>
      </c>
      <c r="J23" s="23">
        <f>SUM(E23:I23)</f>
        <v/>
      </c>
      <c r="K23" s="24" t="n"/>
      <c r="L23" s="25" t="n"/>
    </row>
    <row r="24" ht="15.75" customHeight="1" s="48">
      <c r="B24" s="26" t="inlineStr">
        <is>
          <t>Block total</t>
        </is>
      </c>
      <c r="C24" s="27" t="n"/>
      <c r="D24" s="27" t="n"/>
      <c r="E24" s="28">
        <f>SUM(E18:E23)</f>
        <v/>
      </c>
      <c r="F24" s="28">
        <f>SUM(F18:F23)</f>
        <v/>
      </c>
      <c r="G24" s="28">
        <f>SUM(G18:G23)</f>
        <v/>
      </c>
      <c r="H24" s="28">
        <f>SUM(H18:H23)</f>
        <v/>
      </c>
      <c r="I24" s="28">
        <f>SUM(I18:I23)</f>
        <v/>
      </c>
      <c r="J24" s="28">
        <f>SUM(J18:J23)</f>
        <v/>
      </c>
      <c r="K24" s="29">
        <f>IFERROR(J24/$J$51,0)</f>
        <v/>
      </c>
      <c r="L24" s="27" t="n"/>
    </row>
    <row r="25" ht="15.75" customHeight="1" s="48">
      <c r="C25" s="30" t="n"/>
    </row>
    <row r="26" ht="15.75" customHeight="1" s="48">
      <c r="B26" s="7" t="inlineStr">
        <is>
          <t>BLOCK 3. Transaction costs (Buy / Partner)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</row>
    <row r="27" ht="15.75" customHeight="1" s="48">
      <c r="B27" s="11" t="inlineStr">
        <is>
          <t>Payment provider fees (all-in, incl. payouts &amp; FX)</t>
        </is>
      </c>
      <c r="C27" s="17" t="inlineStr">
        <is>
          <t>GMV</t>
        </is>
      </c>
      <c r="D27" s="18" t="n">
        <v>250800</v>
      </c>
      <c r="E27" s="23">
        <f>IF($D27="","",$D27*INDEX(Assumptions!$C$25:$G$30,MATCH($C27,Assumptions!$B$25:$B$30,0),1))</f>
        <v/>
      </c>
      <c r="F27" s="23">
        <f>IF($D27="","",$D27*INDEX(Assumptions!$C$25:$G$30,MATCH($C27,Assumptions!$B$25:$B$30,0),2))</f>
        <v/>
      </c>
      <c r="G27" s="23">
        <f>IF($D27="","",$D27*INDEX(Assumptions!$C$25:$G$30,MATCH($C27,Assumptions!$B$25:$B$30,0),3))</f>
        <v/>
      </c>
      <c r="H27" s="23">
        <f>IF($D27="","",$D27*INDEX(Assumptions!$C$25:$G$30,MATCH($C27,Assumptions!$B$25:$B$30,0),4))</f>
        <v/>
      </c>
      <c r="I27" s="23">
        <f>IF($D27="","",$D27*INDEX(Assumptions!$C$25:$G$30,MATCH($C27,Assumptions!$B$25:$B$30,0),5))</f>
        <v/>
      </c>
      <c r="J27" s="23">
        <f>SUM(E27:I27)</f>
        <v/>
      </c>
      <c r="K27" s="24" t="n"/>
      <c r="L27" s="25" t="inlineStr">
        <is>
          <t>1.9% blended of Y1 GMV $13.2M - see Task5/adr-004 (cap 2.5%, A6 p.6)</t>
        </is>
      </c>
    </row>
    <row r="28" ht="15.75" customHeight="1" s="48">
      <c r="B28" s="11" t="inlineStr">
        <is>
          <t>SMS notifications</t>
        </is>
      </c>
      <c r="C28" s="17" t="inlineStr">
        <is>
          <t>orders</t>
        </is>
      </c>
      <c r="D28" s="18" t="n">
        <v>36000</v>
      </c>
      <c r="E28" s="23">
        <f>IF($D28="","",$D28*INDEX(Assumptions!$C$25:$G$30,MATCH($C28,Assumptions!$B$25:$B$30,0),1))</f>
        <v/>
      </c>
      <c r="F28" s="23">
        <f>IF($D28="","",$D28*INDEX(Assumptions!$C$25:$G$30,MATCH($C28,Assumptions!$B$25:$B$30,0),2))</f>
        <v/>
      </c>
      <c r="G28" s="23">
        <f>IF($D28="","",$D28*INDEX(Assumptions!$C$25:$G$30,MATCH($C28,Assumptions!$B$25:$B$30,0),3))</f>
        <v/>
      </c>
      <c r="H28" s="23">
        <f>IF($D28="","",$D28*INDEX(Assumptions!$C$25:$G$30,MATCH($C28,Assumptions!$B$25:$B$30,0),4))</f>
        <v/>
      </c>
      <c r="I28" s="23">
        <f>IF($D28="","",$D28*INDEX(Assumptions!$C$25:$G$30,MATCH($C28,Assumptions!$B$25:$B$30,0),5))</f>
        <v/>
      </c>
      <c r="J28" s="23">
        <f>SUM(E28:I28)</f>
        <v/>
      </c>
      <c r="K28" s="24" t="n"/>
      <c r="L28" s="25" t="inlineStr">
        <is>
          <t>3 SMS/order x $0.02 (Africa's Talking NG/KE)</t>
        </is>
      </c>
    </row>
    <row r="29" ht="15.75" customHeight="1" s="48">
      <c r="B29" s="11" t="inlineStr">
        <is>
          <t>WhatsApp messages (utility templates)</t>
        </is>
      </c>
      <c r="C29" s="17" t="inlineStr">
        <is>
          <t>orders</t>
        </is>
      </c>
      <c r="D29" s="18" t="n">
        <v>6000</v>
      </c>
      <c r="E29" s="23">
        <f>IF($D29="","",$D29*INDEX(Assumptions!$C$25:$G$30,MATCH($C29,Assumptions!$B$25:$B$30,0),1))</f>
        <v/>
      </c>
      <c r="F29" s="23">
        <f>IF($D29="","",$D29*INDEX(Assumptions!$C$25:$G$30,MATCH($C29,Assumptions!$B$25:$B$30,0),2))</f>
        <v/>
      </c>
      <c r="G29" s="23">
        <f>IF($D29="","",$D29*INDEX(Assumptions!$C$25:$G$30,MATCH($C29,Assumptions!$B$25:$B$30,0),3))</f>
        <v/>
      </c>
      <c r="H29" s="23">
        <f>IF($D29="","",$D29*INDEX(Assumptions!$C$25:$G$30,MATCH($C29,Assumptions!$B$25:$B$30,0),4))</f>
        <v/>
      </c>
      <c r="I29" s="23">
        <f>IF($D29="","",$D29*INDEX(Assumptions!$C$25:$G$30,MATCH($C29,Assumptions!$B$25:$B$30,0),5))</f>
        <v/>
      </c>
      <c r="J29" s="23">
        <f>SUM(E29:I29)</f>
        <v/>
      </c>
      <c r="K29" s="24" t="n"/>
      <c r="L29" s="25" t="inlineStr">
        <is>
          <t>~$0.01/order seller+buyer utility msgs</t>
        </is>
      </c>
    </row>
    <row r="30" ht="15.75" customHeight="1" s="48">
      <c r="B30" s="11" t="inlineStr">
        <is>
          <t>Logistics: partner API fees + delivery subsidy</t>
        </is>
      </c>
      <c r="C30" s="17" t="inlineStr">
        <is>
          <t>orders</t>
        </is>
      </c>
      <c r="D30" s="18" t="n">
        <v>90000</v>
      </c>
      <c r="E30" s="23">
        <f>IF($D30="","",$D30*INDEX(Assumptions!$C$25:$G$30,MATCH($C30,Assumptions!$B$25:$B$30,0),1))</f>
        <v/>
      </c>
      <c r="F30" s="23">
        <f>IF($D30="","",$D30*INDEX(Assumptions!$C$25:$G$30,MATCH($C30,Assumptions!$B$25:$B$30,0),2))</f>
        <v/>
      </c>
      <c r="G30" s="23">
        <f>IF($D30="","",$D30*INDEX(Assumptions!$C$25:$G$30,MATCH($C30,Assumptions!$B$25:$B$30,0),3))</f>
        <v/>
      </c>
      <c r="H30" s="23">
        <f>IF($D30="","",$D30*INDEX(Assumptions!$C$25:$G$30,MATCH($C30,Assumptions!$B$25:$B$30,0),4))</f>
        <v/>
      </c>
      <c r="I30" s="23">
        <f>IF($D30="","",$D30*INDEX(Assumptions!$C$25:$G$30,MATCH($C30,Assumptions!$B$25:$B$30,0),5))</f>
        <v/>
      </c>
      <c r="J30" s="23">
        <f>SUM(E30:I30)</f>
        <v/>
      </c>
      <c r="K30" s="24" t="n"/>
      <c r="L30" s="25" t="inlineStr">
        <is>
          <t>$0.15/order platform-paid on top of buyer delivery fee (Sendbox NG, Sendy KE)</t>
        </is>
      </c>
    </row>
    <row r="31" ht="15.75" customHeight="1" s="48">
      <c r="B31" s="11" t="inlineStr">
        <is>
          <t>USSD sessions + short codes (NG, KE)</t>
        </is>
      </c>
      <c r="C31" s="17" t="inlineStr">
        <is>
          <t>orders</t>
        </is>
      </c>
      <c r="D31" s="18" t="n">
        <v>12000</v>
      </c>
      <c r="E31" s="23">
        <f>IF($D31="","",$D31*INDEX(Assumptions!$C$25:$G$30,MATCH($C31,Assumptions!$B$25:$B$30,0),1))</f>
        <v/>
      </c>
      <c r="F31" s="23">
        <f>IF($D31="","",$D31*INDEX(Assumptions!$C$25:$G$30,MATCH($C31,Assumptions!$B$25:$B$30,0),2))</f>
        <v/>
      </c>
      <c r="G31" s="23">
        <f>IF($D31="","",$D31*INDEX(Assumptions!$C$25:$G$30,MATCH($C31,Assumptions!$B$25:$B$30,0),3))</f>
        <v/>
      </c>
      <c r="H31" s="23">
        <f>IF($D31="","",$D31*INDEX(Assumptions!$C$25:$G$30,MATCH($C31,Assumptions!$B$25:$B$30,0),4))</f>
        <v/>
      </c>
      <c r="I31" s="23">
        <f>IF($D31="","",$D31*INDEX(Assumptions!$C$25:$G$30,MATCH($C31,Assumptions!$B$25:$B$30,0),5))</f>
        <v/>
      </c>
      <c r="J31" s="23">
        <f>SUM(E31:I31)</f>
        <v/>
      </c>
      <c r="K31" s="24" t="n"/>
      <c r="L31" s="25" t="inlineStr">
        <is>
          <t>Africa's Talking USSD aggregator</t>
        </is>
      </c>
    </row>
    <row r="32" ht="15.75" customHeight="1" s="48">
      <c r="B32" s="26" t="inlineStr">
        <is>
          <t>Block total</t>
        </is>
      </c>
      <c r="C32" s="27" t="n"/>
      <c r="D32" s="27" t="n"/>
      <c r="E32" s="28">
        <f>SUM(E27:E31)</f>
        <v/>
      </c>
      <c r="F32" s="28">
        <f>SUM(F27:F31)</f>
        <v/>
      </c>
      <c r="G32" s="28">
        <f>SUM(G27:G31)</f>
        <v/>
      </c>
      <c r="H32" s="28">
        <f>SUM(H27:H31)</f>
        <v/>
      </c>
      <c r="I32" s="28">
        <f>SUM(I27:I31)</f>
        <v/>
      </c>
      <c r="J32" s="28">
        <f>SUM(J27:J31)</f>
        <v/>
      </c>
      <c r="K32" s="29">
        <f>IFERROR(J32/$J$51,0)</f>
        <v/>
      </c>
      <c r="L32" s="27" t="n"/>
    </row>
    <row r="33" ht="15.75" customHeight="1" s="48">
      <c r="C33" s="30" t="n"/>
    </row>
    <row r="34" ht="15.75" customHeight="1" s="48">
      <c r="B34" s="7" t="inlineStr">
        <is>
          <t>BLOCK 4. Team (payroll)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</row>
    <row r="35" ht="15.75" customHeight="1" s="48">
      <c r="B35" s="11" t="inlineStr">
        <is>
          <t>Development (FTE x annual rate)</t>
        </is>
      </c>
      <c r="C35" s="17" t="inlineStr">
        <is>
          <t>payroll</t>
        </is>
      </c>
      <c r="D35" s="18" t="n">
        <v>300000</v>
      </c>
      <c r="E35" s="23">
        <f>IF($D35="","",$D35*INDEX(Assumptions!$C$25:$G$30,MATCH($C35,Assumptions!$B$25:$B$30,0),1))</f>
        <v/>
      </c>
      <c r="F35" s="23">
        <f>IF($D35="","",$D35*INDEX(Assumptions!$C$25:$G$30,MATCH($C35,Assumptions!$B$25:$B$30,0),2))</f>
        <v/>
      </c>
      <c r="G35" s="23">
        <f>IF($D35="","",$D35*INDEX(Assumptions!$C$25:$G$30,MATCH($C35,Assumptions!$B$25:$B$30,0),3))</f>
        <v/>
      </c>
      <c r="H35" s="23">
        <f>IF($D35="","",$D35*INDEX(Assumptions!$C$25:$G$30,MATCH($C35,Assumptions!$B$25:$B$30,0),4))</f>
        <v/>
      </c>
      <c r="I35" s="23">
        <f>IF($D35="","",$D35*INDEX(Assumptions!$C$25:$G$30,MATCH($C35,Assumptions!$B$25:$B$30,0),5))</f>
        <v/>
      </c>
      <c r="J35" s="23">
        <f>SUM(E35:I35)</f>
        <v/>
      </c>
      <c r="K35" s="24" t="n"/>
      <c r="L35" s="25" t="inlineStr">
        <is>
          <t>5 contractors x $60k: Go x2, Flutter x1, full-stack x1, integrations/USSD x1</t>
        </is>
      </c>
    </row>
    <row r="36" ht="15.75" customHeight="1" s="48">
      <c r="B36" s="11" t="inlineStr">
        <is>
          <t>DevOps / SRE</t>
        </is>
      </c>
      <c r="C36" s="17" t="inlineStr">
        <is>
          <t>payroll</t>
        </is>
      </c>
      <c r="D36" s="18" t="n">
        <v>72000</v>
      </c>
      <c r="E36" s="23">
        <f>IF($D36="","",$D36*INDEX(Assumptions!$C$25:$G$30,MATCH($C36,Assumptions!$B$25:$B$30,0),1))</f>
        <v/>
      </c>
      <c r="F36" s="23">
        <f>IF($D36="","",$D36*INDEX(Assumptions!$C$25:$G$30,MATCH($C36,Assumptions!$B$25:$B$30,0),2))</f>
        <v/>
      </c>
      <c r="G36" s="23">
        <f>IF($D36="","",$D36*INDEX(Assumptions!$C$25:$G$30,MATCH($C36,Assumptions!$B$25:$B$30,0),3))</f>
        <v/>
      </c>
      <c r="H36" s="23">
        <f>IF($D36="","",$D36*INDEX(Assumptions!$C$25:$G$30,MATCH($C36,Assumptions!$B$25:$B$30,0),4))</f>
        <v/>
      </c>
      <c r="I36" s="23">
        <f>IF($D36="","",$D36*INDEX(Assumptions!$C$25:$G$30,MATCH($C36,Assumptions!$B$25:$B$30,0),5))</f>
        <v/>
      </c>
      <c r="J36" s="23">
        <f>SUM(E36:I36)</f>
        <v/>
      </c>
      <c r="K36" s="24" t="n"/>
      <c r="L36" s="25" t="inlineStr">
        <is>
          <t>1 platform/SRE contractor</t>
        </is>
      </c>
    </row>
    <row r="37" ht="15.75" customHeight="1" s="48">
      <c r="B37" s="11" t="inlineStr">
        <is>
          <t>On-call 24/7 (follow-the-sun stipend)</t>
        </is>
      </c>
      <c r="C37" s="17" t="inlineStr">
        <is>
          <t>payroll</t>
        </is>
      </c>
      <c r="D37" s="18" t="n">
        <v>18000</v>
      </c>
      <c r="E37" s="23">
        <f>IF($D37="","",$D37*INDEX(Assumptions!$C$25:$G$30,MATCH($C37,Assumptions!$B$25:$B$30,0),1))</f>
        <v/>
      </c>
      <c r="F37" s="23">
        <f>IF($D37="","",$D37*INDEX(Assumptions!$C$25:$G$30,MATCH($C37,Assumptions!$B$25:$B$30,0),2))</f>
        <v/>
      </c>
      <c r="G37" s="23">
        <f>IF($D37="","",$D37*INDEX(Assumptions!$C$25:$G$30,MATCH($C37,Assumptions!$B$25:$B$30,0),3))</f>
        <v/>
      </c>
      <c r="H37" s="23">
        <f>IF($D37="","",$D37*INDEX(Assumptions!$C$25:$G$30,MATCH($C37,Assumptions!$B$25:$B$30,0),4))</f>
        <v/>
      </c>
      <c r="I37" s="23">
        <f>IF($D37="","",$D37*INDEX(Assumptions!$C$25:$G$30,MATCH($C37,Assumptions!$B$25:$B$30,0),5))</f>
        <v/>
      </c>
      <c r="J37" s="23">
        <f>SUM(E37:I37)</f>
        <v/>
      </c>
      <c r="K37" s="24" t="n"/>
      <c r="L37" s="25" t="inlineStr">
        <is>
          <t>$1.5k/mo across 6 contractors in 3 time zones</t>
        </is>
      </c>
    </row>
    <row r="38" ht="15.75" customHeight="1" s="48">
      <c r="B38" s="11" t="inlineStr">
        <is>
          <t>Architecture &amp; management</t>
        </is>
      </c>
      <c r="C38" s="17" t="inlineStr">
        <is>
          <t>payroll</t>
        </is>
      </c>
      <c r="D38" s="18" t="n">
        <v>200000</v>
      </c>
      <c r="E38" s="23">
        <f>IF($D38="","",$D38*INDEX(Assumptions!$C$25:$G$30,MATCH($C38,Assumptions!$B$25:$B$30,0),1))</f>
        <v/>
      </c>
      <c r="F38" s="23">
        <f>IF($D38="","",$D38*INDEX(Assumptions!$C$25:$G$30,MATCH($C38,Assumptions!$B$25:$B$30,0),2))</f>
        <v/>
      </c>
      <c r="G38" s="23">
        <f>IF($D38="","",$D38*INDEX(Assumptions!$C$25:$G$30,MATCH($C38,Assumptions!$B$25:$B$30,0),3))</f>
        <v/>
      </c>
      <c r="H38" s="23">
        <f>IF($D38="","",$D38*INDEX(Assumptions!$C$25:$G$30,MATCH($C38,Assumptions!$B$25:$B$30,0),4))</f>
        <v/>
      </c>
      <c r="I38" s="23">
        <f>IF($D38="","",$D38*INDEX(Assumptions!$C$25:$G$30,MATCH($C38,Assumptions!$B$25:$B$30,0),5))</f>
        <v/>
      </c>
      <c r="J38" s="23">
        <f>SUM(E38:I38)</f>
        <v/>
      </c>
      <c r="K38" s="24" t="n"/>
      <c r="L38" s="25" t="inlineStr">
        <is>
          <t>Solution Architect (deputy CTO) + PM from Q1-2027 + 50% CTO</t>
        </is>
      </c>
    </row>
    <row r="39" ht="15.75" customHeight="1" s="48">
      <c r="B39" s="11" t="inlineStr">
        <is>
          <t>Team growth from Y2 (+4 engineers)</t>
        </is>
      </c>
      <c r="C39" s="17" t="inlineStr">
        <is>
          <t>payroll</t>
        </is>
      </c>
      <c r="D39" s="18" t="n">
        <v>240000</v>
      </c>
      <c r="E39" s="23" t="n">
        <v>0</v>
      </c>
      <c r="F39" s="23">
        <f>IF($D39="","",$D39*INDEX(Assumptions!$C$25:$G$30,MATCH($C39,Assumptions!$B$25:$B$30,0),2))</f>
        <v/>
      </c>
      <c r="G39" s="23">
        <f>IF($D39="","",$D39*INDEX(Assumptions!$C$25:$G$30,MATCH($C39,Assumptions!$B$25:$B$30,0),3))</f>
        <v/>
      </c>
      <c r="H39" s="23">
        <f>IF($D39="","",$D39*INDEX(Assumptions!$C$25:$G$30,MATCH($C39,Assumptions!$B$25:$B$30,0),4))</f>
        <v/>
      </c>
      <c r="I39" s="23">
        <f>IF($D39="","",$D39*INDEX(Assumptions!$C$25:$G$30,MATCH($C39,Assumptions!$B$25:$B$30,0),5))</f>
        <v/>
      </c>
      <c r="J39" s="23">
        <f>SUM(E39:I39)</f>
        <v/>
      </c>
      <c r="K39" s="24" t="n"/>
      <c r="L39" s="25" t="inlineStr">
        <is>
          <t>Hiring freeze to Dec-2026; Y1 = 0 (overridden)</t>
        </is>
      </c>
    </row>
    <row r="40" ht="15.75" customHeight="1" s="48">
      <c r="B40" s="26" t="inlineStr">
        <is>
          <t>Block total</t>
        </is>
      </c>
      <c r="C40" s="27" t="n"/>
      <c r="D40" s="27" t="n"/>
      <c r="E40" s="28">
        <f>SUM(E35:E39)</f>
        <v/>
      </c>
      <c r="F40" s="28">
        <f>SUM(F35:F39)</f>
        <v/>
      </c>
      <c r="G40" s="28">
        <f>SUM(G35:G39)</f>
        <v/>
      </c>
      <c r="H40" s="28">
        <f>SUM(H35:H39)</f>
        <v/>
      </c>
      <c r="I40" s="28">
        <f>SUM(I35:I39)</f>
        <v/>
      </c>
      <c r="J40" s="28">
        <f>SUM(J35:J39)</f>
        <v/>
      </c>
      <c r="K40" s="29">
        <f>IFERROR(J40/$J$51,0)</f>
        <v/>
      </c>
      <c r="L40" s="27" t="n"/>
    </row>
    <row r="41" ht="15.75" customHeight="1" s="48">
      <c r="C41" s="30" t="n"/>
    </row>
    <row r="42" ht="15.75" customHeight="1" s="48">
      <c r="B42" s="7" t="inlineStr">
        <is>
          <t>BLOCK 5. One-off &amp; compliance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</row>
    <row r="43" ht="15.75" customHeight="1" s="48">
      <c r="B43" s="11" t="inlineStr">
        <is>
          <t>Legal &amp; compliance (NDPR/NDPA, POPIA, KE DPA)</t>
        </is>
      </c>
      <c r="C43" s="17" t="inlineStr">
        <is>
          <t>fixed</t>
        </is>
      </c>
      <c r="D43" s="18" t="n">
        <v>30000</v>
      </c>
      <c r="E43" s="23">
        <f>IF($D43="","",$D43*INDEX(Assumptions!$C$25:$G$30,MATCH($C43,Assumptions!$B$25:$B$30,0),1))</f>
        <v/>
      </c>
      <c r="F43" s="23" t="n">
        <v>15000</v>
      </c>
      <c r="G43" s="23" t="n">
        <v>15000</v>
      </c>
      <c r="H43" s="23" t="n">
        <v>15000</v>
      </c>
      <c r="I43" s="23" t="n">
        <v>15000</v>
      </c>
      <c r="J43" s="23">
        <f>SUM(E43:I43)</f>
        <v/>
      </c>
      <c r="K43" s="24" t="n"/>
      <c r="L43" s="25" t="inlineStr">
        <is>
          <t>Y1: DPIA, NDPC/ODPC registration, outsourced DPO; Y2+: annual NDPC audit filing</t>
        </is>
      </c>
    </row>
    <row r="44" ht="15.75" customHeight="1" s="48">
      <c r="B44" s="11" t="inlineStr">
        <is>
          <t>Penetration test &amp; security audit</t>
        </is>
      </c>
      <c r="C44" s="17" t="inlineStr">
        <is>
          <t>inflation</t>
        </is>
      </c>
      <c r="D44" s="18" t="n">
        <v>12000</v>
      </c>
      <c r="E44" s="23">
        <f>IF($D44="","",$D44*INDEX(Assumptions!$C$25:$G$30,MATCH($C44,Assumptions!$B$25:$B$30,0),1))</f>
        <v/>
      </c>
      <c r="F44" s="23">
        <f>IF($D44="","",$D44*INDEX(Assumptions!$C$25:$G$30,MATCH($C44,Assumptions!$B$25:$B$30,0),2))</f>
        <v/>
      </c>
      <c r="G44" s="23">
        <f>IF($D44="","",$D44*INDEX(Assumptions!$C$25:$G$30,MATCH($C44,Assumptions!$B$25:$B$30,0),3))</f>
        <v/>
      </c>
      <c r="H44" s="23">
        <f>IF($D44="","",$D44*INDEX(Assumptions!$C$25:$G$30,MATCH($C44,Assumptions!$B$25:$B$30,0),4))</f>
        <v/>
      </c>
      <c r="I44" s="23">
        <f>IF($D44="","",$D44*INDEX(Assumptions!$C$25:$G$30,MATCH($C44,Assumptions!$B$25:$B$30,0),5))</f>
        <v/>
      </c>
      <c r="J44" s="23">
        <f>SUM(E44:I44)</f>
        <v/>
      </c>
      <c r="K44" s="24" t="n"/>
      <c r="L44" s="25" t="inlineStr">
        <is>
          <t>Annual, before peak season</t>
        </is>
      </c>
    </row>
    <row r="45" ht="15.75" customHeight="1" s="48">
      <c r="B45" s="11" t="inlineStr">
        <is>
          <t>Launch integrations &amp; certification</t>
        </is>
      </c>
      <c r="C45" s="17" t="inlineStr">
        <is>
          <t>fixed</t>
        </is>
      </c>
      <c r="D45" s="18" t="n">
        <v>10000</v>
      </c>
      <c r="E45" s="23">
        <f>IF($D45="","",$D45*INDEX(Assumptions!$C$25:$G$30,MATCH($C45,Assumptions!$B$25:$B$30,0),1))</f>
        <v/>
      </c>
      <c r="F45" s="23" t="n">
        <v>0</v>
      </c>
      <c r="G45" s="23" t="n">
        <v>0</v>
      </c>
      <c r="H45" s="23" t="n">
        <v>0</v>
      </c>
      <c r="I45" s="23" t="n">
        <v>0</v>
      </c>
      <c r="J45" s="23">
        <f>SUM(E45:I45)</f>
        <v/>
      </c>
      <c r="K45" s="24" t="n"/>
      <c r="L45" s="25" t="inlineStr">
        <is>
          <t>PSP/logistics prod certification, catalog import tooling; one-off</t>
        </is>
      </c>
    </row>
    <row r="46" ht="15.75" customHeight="1" s="48">
      <c r="B46" s="11" t="inlineStr">
        <is>
          <t>Training &amp; hiring</t>
        </is>
      </c>
      <c r="C46" s="17" t="inlineStr">
        <is>
          <t>payroll</t>
        </is>
      </c>
      <c r="D46" s="18" t="n">
        <v>10000</v>
      </c>
      <c r="E46" s="23">
        <f>IF($D46="","",$D46*INDEX(Assumptions!$C$25:$G$30,MATCH($C46,Assumptions!$B$25:$B$30,0),1))</f>
        <v/>
      </c>
      <c r="F46" s="23">
        <f>IF($D46="","",$D46*INDEX(Assumptions!$C$25:$G$30,MATCH($C46,Assumptions!$B$25:$B$30,0),2))</f>
        <v/>
      </c>
      <c r="G46" s="23">
        <f>IF($D46="","",$D46*INDEX(Assumptions!$C$25:$G$30,MATCH($C46,Assumptions!$B$25:$B$30,0),3))</f>
        <v/>
      </c>
      <c r="H46" s="23">
        <f>IF($D46="","",$D46*INDEX(Assumptions!$C$25:$G$30,MATCH($C46,Assumptions!$B$25:$B$30,0),4))</f>
        <v/>
      </c>
      <c r="I46" s="23">
        <f>IF($D46="","",$D46*INDEX(Assumptions!$C$25:$G$30,MATCH($C46,Assumptions!$B$25:$B$30,0),5))</f>
        <v/>
      </c>
      <c r="J46" s="23">
        <f>SUM(E46:I46)</f>
        <v/>
      </c>
      <c r="K46" s="24" t="n"/>
      <c r="L46" s="25" t="inlineStr">
        <is>
          <t>Contractor onboarding; recruitment fees from Y2</t>
        </is>
      </c>
    </row>
    <row r="47" ht="15.75" customHeight="1" s="48">
      <c r="B47" s="11" t="n"/>
      <c r="C47" s="17" t="inlineStr">
        <is>
          <t>fixed</t>
        </is>
      </c>
      <c r="D47" s="18" t="n"/>
      <c r="E47" s="23">
        <f>IF($D47="","",$D47*INDEX(Assumptions!$C$25:$G$30,MATCH($C47,Assumptions!$B$25:$B$30,0),1))</f>
        <v/>
      </c>
      <c r="F47" s="23">
        <f>IF($D47="","",$D47*INDEX(Assumptions!$C$25:$G$30,MATCH($C47,Assumptions!$B$25:$B$30,0),2))</f>
        <v/>
      </c>
      <c r="G47" s="23">
        <f>IF($D47="","",$D47*INDEX(Assumptions!$C$25:$G$30,MATCH($C47,Assumptions!$B$25:$B$30,0),3))</f>
        <v/>
      </c>
      <c r="H47" s="23">
        <f>IF($D47="","",$D47*INDEX(Assumptions!$C$25:$G$30,MATCH($C47,Assumptions!$B$25:$B$30,0),4))</f>
        <v/>
      </c>
      <c r="I47" s="23">
        <f>IF($D47="","",$D47*INDEX(Assumptions!$C$25:$G$30,MATCH($C47,Assumptions!$B$25:$B$30,0),5))</f>
        <v/>
      </c>
      <c r="J47" s="23">
        <f>SUM(E47:I47)</f>
        <v/>
      </c>
      <c r="K47" s="24" t="n"/>
      <c r="L47" s="25" t="n"/>
    </row>
    <row r="48" ht="15.75" customHeight="1" s="48">
      <c r="B48" s="26" t="inlineStr">
        <is>
          <t>Block total</t>
        </is>
      </c>
      <c r="C48" s="27" t="n"/>
      <c r="D48" s="27" t="n"/>
      <c r="E48" s="28">
        <f>SUM(E43:E47)</f>
        <v/>
      </c>
      <c r="F48" s="28">
        <f>SUM(F43:F47)</f>
        <v/>
      </c>
      <c r="G48" s="28">
        <f>SUM(G43:G47)</f>
        <v/>
      </c>
      <c r="H48" s="28">
        <f>SUM(H43:H47)</f>
        <v/>
      </c>
      <c r="I48" s="28">
        <f>SUM(I43:I47)</f>
        <v/>
      </c>
      <c r="J48" s="28">
        <f>SUM(J43:J47)</f>
        <v/>
      </c>
      <c r="K48" s="29">
        <f>IFERROR(J48/$J$51,0)</f>
        <v/>
      </c>
      <c r="L48" s="27" t="n"/>
    </row>
    <row r="49" ht="15.75" customHeight="1" s="48">
      <c r="C49" s="30" t="n"/>
    </row>
    <row r="50" ht="15.75" customHeight="1" s="48">
      <c r="B50" s="15" t="inlineStr">
        <is>
          <t>Contingency</t>
        </is>
      </c>
      <c r="C50" s="30" t="n"/>
      <c r="E50" s="31">
        <f>(E15+E24+E32+E40+E48)*Assumptions!$C$17</f>
        <v/>
      </c>
      <c r="F50" s="31">
        <f>(F15+F24+F32+F40+F48)*Assumptions!$C$17</f>
        <v/>
      </c>
      <c r="G50" s="31">
        <f>(G15+G24+G32+G40+G48)*Assumptions!$C$17</f>
        <v/>
      </c>
      <c r="H50" s="31">
        <f>(H15+H24+H32+H40+H48)*Assumptions!$C$17</f>
        <v/>
      </c>
      <c r="I50" s="31">
        <f>(I15+I24+I32+I40+I48)*Assumptions!$C$17</f>
        <v/>
      </c>
      <c r="J50" s="23">
        <f>SUM(E50:I50)</f>
        <v/>
      </c>
      <c r="L50" s="6" t="inlineStr">
        <is>
          <t>Blocks 1-5 x contingency rate</t>
        </is>
      </c>
    </row>
    <row r="51" ht="15.75" customHeight="1" s="48">
      <c r="B51" s="26" t="inlineStr">
        <is>
          <t>TOTAL direct costs (TCO excl. downtime)</t>
        </is>
      </c>
      <c r="C51" s="30" t="n"/>
      <c r="E51" s="28">
        <f>E15+E24+E32+E40+E48+E50</f>
        <v/>
      </c>
      <c r="F51" s="28">
        <f>F15+F24+F32+F40+F48+F50</f>
        <v/>
      </c>
      <c r="G51" s="28">
        <f>G15+G24+G32+G40+G48+G50</f>
        <v/>
      </c>
      <c r="H51" s="28">
        <f>H15+H24+H32+H40+H48+H50</f>
        <v/>
      </c>
      <c r="I51" s="28">
        <f>I15+I24+I32+I40+I48+I50</f>
        <v/>
      </c>
      <c r="J51" s="28">
        <f>SUM(E51:I51)</f>
        <v/>
      </c>
    </row>
    <row r="52" ht="15.75" customHeight="1" s="48">
      <c r="B52" s="7" t="inlineStr">
        <is>
          <t>BLOCK 6. Cost of unavailability (risk)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</row>
    <row r="53" ht="15.75" customHeight="1" s="48">
      <c r="B53" s="11" t="inlineStr">
        <is>
          <t>Expected downtime loss at target SLO</t>
        </is>
      </c>
      <c r="C53" t="inlineStr">
        <is>
          <t>SLO -&gt;</t>
        </is>
      </c>
      <c r="D53" s="58" t="n">
        <v>0.9995000000000001</v>
      </c>
      <c r="E53" s="31">
        <f>(1-$D$53)*525600*Assumptions!$C$19*Assumptions!$C$21</f>
        <v/>
      </c>
      <c r="F53" s="31">
        <f>(1-$D$53)*525600*Assumptions!$C$19*Assumptions!$C$21</f>
        <v/>
      </c>
      <c r="G53" s="31">
        <f>(1-$D$53)*525600*Assumptions!$C$19*Assumptions!$C$21</f>
        <v/>
      </c>
      <c r="H53" s="31">
        <f>(1-$D$53)*525600*Assumptions!$C$19*Assumptions!$C$21</f>
        <v/>
      </c>
      <c r="I53" s="31">
        <f>(1-$D$53)*525600*Assumptions!$C$19*Assumptions!$C$21</f>
        <v/>
      </c>
      <c r="J53" s="23">
        <f>SUM(E53:I53)</f>
        <v/>
      </c>
      <c r="L53" s="13" t="inlineStr">
        <is>
          <t>(1 - SLO in D53) x 525,600 min x loss/min x switch</t>
        </is>
      </c>
    </row>
    <row r="54" ht="15.75" customHeight="1" s="48">
      <c r="B54" s="26" t="inlineStr">
        <is>
          <t>TOTAL TCO incl. downtime</t>
        </is>
      </c>
      <c r="E54" s="28">
        <f>E51+E53</f>
        <v/>
      </c>
      <c r="F54" s="28">
        <f>F51+F53</f>
        <v/>
      </c>
      <c r="G54" s="28">
        <f>G51+G53</f>
        <v/>
      </c>
      <c r="H54" s="28">
        <f>H51+H53</f>
        <v/>
      </c>
      <c r="I54" s="28">
        <f>I51+I53</f>
        <v/>
      </c>
      <c r="J54" s="28">
        <f>SUM(E54:I54)</f>
        <v/>
      </c>
    </row>
    <row r="55" ht="15.75" customHeight="1" s="48">
      <c r="B55" s="11" t="inlineStr">
        <is>
          <t>Discount factor</t>
        </is>
      </c>
      <c r="E55" s="32">
        <f>1/(1+Assumptions!$C$16)^0</f>
        <v/>
      </c>
      <c r="F55" s="32">
        <f>1/(1+Assumptions!$C$16)^1</f>
        <v/>
      </c>
      <c r="G55" s="32">
        <f>1/(1+Assumptions!$C$16)^2</f>
        <v/>
      </c>
      <c r="H55" s="32">
        <f>1/(1+Assumptions!$C$16)^3</f>
        <v/>
      </c>
      <c r="I55" s="32">
        <f>1/(1+Assumptions!$C$16)^4</f>
        <v/>
      </c>
    </row>
    <row r="56" ht="15.75" customHeight="1" s="48">
      <c r="B56" s="26" t="inlineStr">
        <is>
          <t>Discounted TCO (NPV of costs)</t>
        </is>
      </c>
      <c r="E56" s="28">
        <f>E54*E55</f>
        <v/>
      </c>
      <c r="F56" s="28">
        <f>F54*F55</f>
        <v/>
      </c>
      <c r="G56" s="28">
        <f>G54*G55</f>
        <v/>
      </c>
      <c r="H56" s="28">
        <f>H54*H55</f>
        <v/>
      </c>
      <c r="I56" s="28">
        <f>I54*I55</f>
        <v/>
      </c>
      <c r="J56" s="28">
        <f>SUM(E56:I56)</f>
        <v/>
      </c>
    </row>
    <row r="57" ht="15.75" customHeight="1" s="48"/>
    <row r="58" ht="15.75" customHeight="1" s="48">
      <c r="B58" s="7" t="inlineStr">
        <is>
          <t>Key metrics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</row>
    <row r="59" ht="15.75" customHeight="1" s="48">
      <c r="B59" s="15" t="inlineStr">
        <is>
          <t>5-yr TCO, direct costs</t>
        </is>
      </c>
      <c r="E59" s="59">
        <f>J51</f>
        <v/>
      </c>
      <c r="F59" s="60" t="n"/>
      <c r="L59" s="13" t="inlineStr">
        <is>
          <t>Main comparison figure for ADR-001</t>
        </is>
      </c>
    </row>
    <row r="60" ht="15.75" customHeight="1" s="48">
      <c r="B60" s="15" t="inlineStr">
        <is>
          <t>5-yr TCO incl. downtime</t>
        </is>
      </c>
      <c r="E60" s="59">
        <f>J54</f>
        <v/>
      </c>
      <c r="F60" s="60" t="n"/>
      <c r="L60" s="13" t="inlineStr">
        <is>
          <t>Price of unavailability</t>
        </is>
      </c>
    </row>
    <row r="61" ht="15.75" customHeight="1" s="48">
      <c r="B61" s="15" t="inlineStr">
        <is>
          <t>NPV of costs, 5 yrs</t>
        </is>
      </c>
      <c r="E61" s="59">
        <f>J56</f>
        <v/>
      </c>
      <c r="F61" s="60" t="n"/>
      <c r="L61" s="13" t="inlineStr">
        <is>
          <t>Discounted to today</t>
        </is>
      </c>
    </row>
    <row r="62" ht="15.75" customHeight="1" s="48">
      <c r="B62" s="15" t="inlineStr">
        <is>
          <t>Average cost per year</t>
        </is>
      </c>
      <c r="E62" s="59">
        <f>J51/5</f>
        <v/>
      </c>
      <c r="F62" s="60" t="n"/>
      <c r="L62" s="13" t="inlineStr">
        <is>
          <t>Planning reference</t>
        </is>
      </c>
    </row>
    <row r="63" ht="15.75" customHeight="1" s="48">
      <c r="B63" s="15" t="inlineStr">
        <is>
          <t>Cloud (Block 1), $/mo in Year 1</t>
        </is>
      </c>
      <c r="E63" s="59">
        <f>E15/12</f>
        <v/>
      </c>
      <c r="F63" s="60" t="n"/>
      <c r="L63" s="13" t="inlineStr">
        <is>
          <t>Compared with CFO cap</t>
        </is>
      </c>
    </row>
    <row r="64" ht="15.75" customHeight="1" s="48">
      <c r="B64" s="15" t="inlineStr">
        <is>
          <t>CFO cap check, Year 1 (Block 1)</t>
        </is>
      </c>
      <c r="E64" s="61">
        <f>IF(E15/12&lt;=Assumptions!$C$18,"Within CFO cap","OVER CFO cap")</f>
        <v/>
      </c>
      <c r="F64" s="60" t="n"/>
      <c r="L64" s="13" t="inlineStr">
        <is>
          <t>Block 1+2 check (CFO counts SaaS too) - see Comparison sheet</t>
        </is>
      </c>
    </row>
    <row r="65" ht="15.75" customHeight="1" s="48">
      <c r="B65" s="15" t="inlineStr">
        <is>
          <t>TCO per order, 5 yrs</t>
        </is>
      </c>
      <c r="E65" s="62">
        <f>IFERROR(J51/SUM(Assumptions!$C$8:$G$8),0)</f>
        <v/>
      </c>
      <c r="F65" s="60" t="n"/>
      <c r="L65" s="13" t="inlineStr">
        <is>
          <t>IT + transaction cost inside one order</t>
        </is>
      </c>
    </row>
    <row r="66" ht="15.75" customHeight="1" s="48">
      <c r="B66" s="15" t="inlineStr">
        <is>
          <t>TCO per active user (Year 5)</t>
        </is>
      </c>
      <c r="E66" s="62">
        <f>IFERROR(I51/Assumptions!$G$7,0)</f>
        <v/>
      </c>
      <c r="F66" s="60" t="n"/>
      <c r="L66" s="13" t="inlineStr">
        <is>
          <t>Scalability check</t>
        </is>
      </c>
    </row>
    <row r="67" ht="15.75" customHeight="1" s="48">
      <c r="B67" s="15" t="inlineStr">
        <is>
          <t>IT cost as share of GMV, 5 yrs</t>
        </is>
      </c>
      <c r="E67" s="63">
        <f>IFERROR(J51/SUM(Assumptions!$C$10:$G$10),0)</f>
        <v/>
      </c>
      <c r="F67" s="60" t="n"/>
      <c r="L67" s="13" t="inlineStr">
        <is>
          <t>Healthy marketplace: low single-digit %</t>
        </is>
      </c>
    </row>
    <row r="68" ht="15.75" customHeight="1" s="48">
      <c r="B68" s="15" t="inlineStr">
        <is>
          <t>Cloud share of TCO</t>
        </is>
      </c>
      <c r="E68" s="64">
        <f>IFERROR(J15/J51,0)</f>
        <v/>
      </c>
      <c r="F68" s="60" t="n"/>
      <c r="L68" s="13" t="inlineStr"/>
    </row>
    <row r="69" ht="15.75" customHeight="1" s="48">
      <c r="B69" s="15" t="inlineStr">
        <is>
          <t>Transaction cost share of TCO</t>
        </is>
      </c>
      <c r="E69" s="64">
        <f>IFERROR(J32/J51,0)</f>
        <v/>
      </c>
      <c r="F69" s="60" t="n"/>
      <c r="L69" s="13" t="inlineStr">
        <is>
          <t>Grows with GMV</t>
        </is>
      </c>
    </row>
    <row r="70" ht="15.75" customHeight="1" s="48">
      <c r="B70" s="15" t="inlineStr">
        <is>
          <t>Team (payroll) share of TCO</t>
        </is>
      </c>
      <c r="E70" s="64">
        <f>IFERROR(J40/J51,0)</f>
        <v/>
      </c>
      <c r="F70" s="60" t="n"/>
      <c r="L70" s="13" t="inlineStr">
        <is>
          <t>Usually the largest item</t>
        </is>
      </c>
    </row>
    <row r="71" ht="15.75" customHeight="1" s="48"/>
    <row r="72" ht="15.75" customHeight="1" s="48">
      <c r="B72" s="39" t="inlineStr">
        <is>
          <t>Conclusion for ADR-001</t>
        </is>
      </c>
    </row>
    <row r="73" ht="15" customHeight="1" s="48">
      <c r="B73" s="65" t="inlineStr">
        <is>
          <t>Cheapest option: 5-yr direct TCO $44,134,941 (NPV $26,640,654); Block 1+2 = $4,100/mo in Y1 - within the $5k CFO cap. Fits 6 contractors and 15-Oct. Key sensitivity: payroll and payment fee rate; revisit when a module exceeds its scaling envelope (ADR-001 triggers).</t>
        </is>
      </c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7" t="n"/>
    </row>
    <row r="74" ht="15.75" customHeight="1" s="48">
      <c r="B74" s="68" t="n"/>
      <c r="L74" s="69" t="n"/>
    </row>
    <row r="75" ht="15.75" customHeight="1" s="48">
      <c r="B75" s="70" t="n"/>
      <c r="C75" s="71" t="n"/>
      <c r="D75" s="71" t="n"/>
      <c r="E75" s="71" t="n"/>
      <c r="F75" s="71" t="n"/>
      <c r="G75" s="71" t="n"/>
      <c r="H75" s="71" t="n"/>
      <c r="I75" s="71" t="n"/>
      <c r="J75" s="71" t="n"/>
      <c r="K75" s="71" t="n"/>
      <c r="L75" s="72" t="n"/>
    </row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4">
    <mergeCell ref="E59:F59"/>
    <mergeCell ref="B73:L75"/>
    <mergeCell ref="E68:F68"/>
    <mergeCell ref="E62:F62"/>
    <mergeCell ref="B72:L72"/>
    <mergeCell ref="E63:F63"/>
    <mergeCell ref="E67:F67"/>
    <mergeCell ref="E69:F69"/>
    <mergeCell ref="E66:F66"/>
    <mergeCell ref="E61:F61"/>
    <mergeCell ref="E60:F60"/>
    <mergeCell ref="E70:F70"/>
    <mergeCell ref="E64:F64"/>
    <mergeCell ref="E65:F65"/>
  </mergeCells>
  <dataValidations count="1">
    <dataValidation sqref="C6:C51" showDropDown="0" showInputMessage="0" showErrorMessage="0" allowBlank="1" type="list">
      <formula1>"fixed,inflation,payroll,users,orders,GMV"</formula1>
    </dataValidation>
  </dataValidation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ColWidth="14.43" defaultRowHeight="15" customHeight="1"/>
  <cols>
    <col width="3" customWidth="1" style="48" min="1" max="1"/>
    <col width="44" customWidth="1" style="48" min="2" max="2"/>
    <col width="16" customWidth="1" style="48" min="3" max="3"/>
    <col width="15" customWidth="1" style="48" min="4" max="4"/>
    <col width="14" customWidth="1" style="48" min="5" max="10"/>
    <col width="10" customWidth="1" style="48" min="11" max="11"/>
    <col width="46" customWidth="1" style="48" min="12" max="12"/>
    <col width="8.710000000000001" customWidth="1" style="48" min="13" max="26"/>
  </cols>
  <sheetData>
    <row r="1">
      <c r="B1" s="53" t="inlineStr">
        <is>
          <t>Option B - Service-based architecture (6 coarse services, managed broker)</t>
        </is>
      </c>
    </row>
    <row r="2">
      <c r="B2" s="1" t="inlineStr">
        <is>
          <t>5-year TCO - Africa Delivery</t>
        </is>
      </c>
    </row>
    <row r="3">
      <c r="B3" s="6" t="inlineStr">
        <is>
          <t>Inputs: 'Growth driver' and 'Base, $/yr (Year 1)'. Years 1-5 are calculated.</t>
        </is>
      </c>
    </row>
    <row r="4"/>
    <row r="5" ht="31.5" customHeight="1" s="48">
      <c r="B5" s="9" t="inlineStr">
        <is>
          <t>Cost item</t>
        </is>
      </c>
      <c r="C5" s="9" t="inlineStr">
        <is>
          <t>Growth driver</t>
        </is>
      </c>
      <c r="D5" s="9" t="inlineStr">
        <is>
          <t>Base, $/yr (Year 1)</t>
        </is>
      </c>
      <c r="E5" s="9" t="inlineStr">
        <is>
          <t>Year 1</t>
        </is>
      </c>
      <c r="F5" s="9" t="inlineStr">
        <is>
          <t>Year 2</t>
        </is>
      </c>
      <c r="G5" s="9" t="inlineStr">
        <is>
          <t>Year 3</t>
        </is>
      </c>
      <c r="H5" s="9" t="inlineStr">
        <is>
          <t>Year 4</t>
        </is>
      </c>
      <c r="I5" s="9" t="inlineStr">
        <is>
          <t>Year 5</t>
        </is>
      </c>
      <c r="J5" s="9" t="inlineStr">
        <is>
          <t>Total 5 yrs</t>
        </is>
      </c>
      <c r="K5" s="9" t="inlineStr">
        <is>
          <t>Share</t>
        </is>
      </c>
      <c r="L5" s="9" t="inlineStr">
        <is>
          <t>Comment / source</t>
        </is>
      </c>
    </row>
    <row r="6">
      <c r="B6" s="7" t="inlineStr">
        <is>
          <t>BLOCK 1. Cloud infrastructure (OpEx)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B7" s="11" t="inlineStr">
        <is>
          <t>Compute: managed Kubernetes nodes</t>
        </is>
      </c>
      <c r="C7" s="17" t="inlineStr">
        <is>
          <t>users</t>
        </is>
      </c>
      <c r="D7" s="18" t="n">
        <v>18000</v>
      </c>
      <c r="E7" s="23">
        <f>IF($D7="","",$D7*INDEX(Assumptions!$C$25:$G$30,MATCH($C7,Assumptions!$B$25:$B$30,0),1))</f>
        <v/>
      </c>
      <c r="F7" s="23">
        <f>IF($D7="","",$D7*INDEX(Assumptions!$C$25:$G$30,MATCH($C7,Assumptions!$B$25:$B$30,0),2))</f>
        <v/>
      </c>
      <c r="G7" s="23">
        <f>IF($D7="","",$D7*INDEX(Assumptions!$C$25:$G$30,MATCH($C7,Assumptions!$B$25:$B$30,0),3))</f>
        <v/>
      </c>
      <c r="H7" s="23">
        <f>IF($D7="","",$D7*INDEX(Assumptions!$C$25:$G$30,MATCH($C7,Assumptions!$B$25:$B$30,0),4))</f>
        <v/>
      </c>
      <c r="I7" s="23">
        <f>IF($D7="","",$D7*INDEX(Assumptions!$C$25:$G$30,MATCH($C7,Assumptions!$B$25:$B$30,0),5))</f>
        <v/>
      </c>
      <c r="J7" s="23">
        <f>SUM(E7:I7)</f>
        <v/>
      </c>
      <c r="K7" s="24" t="n"/>
      <c r="L7" s="25" t="inlineStr">
        <is>
          <t>GKE: 5 nodes, 6 services x 2 replicas</t>
        </is>
      </c>
    </row>
    <row r="8">
      <c r="B8" s="11" t="inlineStr">
        <is>
          <t>Managed PostgreSQL (2 clusters, Multi-AZ)</t>
        </is>
      </c>
      <c r="C8" s="17" t="inlineStr">
        <is>
          <t>users</t>
        </is>
      </c>
      <c r="D8" s="18" t="n">
        <v>14400</v>
      </c>
      <c r="E8" s="23">
        <f>IF($D8="","",$D8*INDEX(Assumptions!$C$25:$G$30,MATCH($C8,Assumptions!$B$25:$B$30,0),1))</f>
        <v/>
      </c>
      <c r="F8" s="23">
        <f>IF($D8="","",$D8*INDEX(Assumptions!$C$25:$G$30,MATCH($C8,Assumptions!$B$25:$B$30,0),2))</f>
        <v/>
      </c>
      <c r="G8" s="23">
        <f>IF($D8="","",$D8*INDEX(Assumptions!$C$25:$G$30,MATCH($C8,Assumptions!$B$25:$B$30,0),3))</f>
        <v/>
      </c>
      <c r="H8" s="23">
        <f>IF($D8="","",$D8*INDEX(Assumptions!$C$25:$G$30,MATCH($C8,Assumptions!$B$25:$B$30,0),4))</f>
        <v/>
      </c>
      <c r="I8" s="23">
        <f>IF($D8="","",$D8*INDEX(Assumptions!$C$25:$G$30,MATCH($C8,Assumptions!$B$25:$B$30,0),5))</f>
        <v/>
      </c>
      <c r="J8" s="23">
        <f>SUM(E8:I8)</f>
        <v/>
      </c>
      <c r="K8" s="24" t="n"/>
      <c r="L8" s="25" t="inlineStr">
        <is>
          <t>Transactional + catalog databases</t>
        </is>
      </c>
    </row>
    <row r="9">
      <c r="B9" s="11" t="inlineStr">
        <is>
          <t>Object storage &amp; backups</t>
        </is>
      </c>
      <c r="C9" s="17" t="inlineStr">
        <is>
          <t>users</t>
        </is>
      </c>
      <c r="D9" s="18" t="n">
        <v>2400</v>
      </c>
      <c r="E9" s="23">
        <f>IF($D9="","",$D9*INDEX(Assumptions!$C$25:$G$30,MATCH($C9,Assumptions!$B$25:$B$30,0),1))</f>
        <v/>
      </c>
      <c r="F9" s="23">
        <f>IF($D9="","",$D9*INDEX(Assumptions!$C$25:$G$30,MATCH($C9,Assumptions!$B$25:$B$30,0),2))</f>
        <v/>
      </c>
      <c r="G9" s="23">
        <f>IF($D9="","",$D9*INDEX(Assumptions!$C$25:$G$30,MATCH($C9,Assumptions!$B$25:$B$30,0),3))</f>
        <v/>
      </c>
      <c r="H9" s="23">
        <f>IF($D9="","",$D9*INDEX(Assumptions!$C$25:$G$30,MATCH($C9,Assumptions!$B$25:$B$30,0),4))</f>
        <v/>
      </c>
      <c r="I9" s="23">
        <f>IF($D9="","",$D9*INDEX(Assumptions!$C$25:$G$30,MATCH($C9,Assumptions!$B$25:$B$30,0),5))</f>
        <v/>
      </c>
      <c r="J9" s="23">
        <f>SUM(E9:I9)</f>
        <v/>
      </c>
      <c r="K9" s="24" t="n"/>
      <c r="L9" s="25" t="inlineStr">
        <is>
          <t>S3 + backups per service</t>
        </is>
      </c>
    </row>
    <row r="10">
      <c r="B10" s="11" t="inlineStr">
        <is>
          <t>CDN &amp; egress</t>
        </is>
      </c>
      <c r="C10" s="17" t="inlineStr">
        <is>
          <t>users</t>
        </is>
      </c>
      <c r="D10" s="18" t="n">
        <v>4800</v>
      </c>
      <c r="E10" s="23">
        <f>IF($D10="","",$D10*INDEX(Assumptions!$C$25:$G$30,MATCH($C10,Assumptions!$B$25:$B$30,0),1))</f>
        <v/>
      </c>
      <c r="F10" s="23">
        <f>IF($D10="","",$D10*INDEX(Assumptions!$C$25:$G$30,MATCH($C10,Assumptions!$B$25:$B$30,0),2))</f>
        <v/>
      </c>
      <c r="G10" s="23">
        <f>IF($D10="","",$D10*INDEX(Assumptions!$C$25:$G$30,MATCH($C10,Assumptions!$B$25:$B$30,0),3))</f>
        <v/>
      </c>
      <c r="H10" s="23">
        <f>IF($D10="","",$D10*INDEX(Assumptions!$C$25:$G$30,MATCH($C10,Assumptions!$B$25:$B$30,0),4))</f>
        <v/>
      </c>
      <c r="I10" s="23">
        <f>IF($D10="","",$D10*INDEX(Assumptions!$C$25:$G$30,MATCH($C10,Assumptions!$B$25:$B$30,0),5))</f>
        <v/>
      </c>
      <c r="J10" s="23">
        <f>SUM(E10:I10)</f>
        <v/>
      </c>
      <c r="K10" s="24" t="n"/>
      <c r="L10" s="25" t="inlineStr">
        <is>
          <t>Cloudflare Pro</t>
        </is>
      </c>
    </row>
    <row r="11">
      <c r="B11" s="11" t="inlineStr">
        <is>
          <t>Managed message broker</t>
        </is>
      </c>
      <c r="C11" s="17" t="inlineStr">
        <is>
          <t>users</t>
        </is>
      </c>
      <c r="D11" s="18" t="n">
        <v>6000</v>
      </c>
      <c r="E11" s="23">
        <f>IF($D11="","",$D11*INDEX(Assumptions!$C$25:$G$30,MATCH($C11,Assumptions!$B$25:$B$30,0),1))</f>
        <v/>
      </c>
      <c r="F11" s="23">
        <f>IF($D11="","",$D11*INDEX(Assumptions!$C$25:$G$30,MATCH($C11,Assumptions!$B$25:$B$30,0),2))</f>
        <v/>
      </c>
      <c r="G11" s="23">
        <f>IF($D11="","",$D11*INDEX(Assumptions!$C$25:$G$30,MATCH($C11,Assumptions!$B$25:$B$30,0),3))</f>
        <v/>
      </c>
      <c r="H11" s="23">
        <f>IF($D11="","",$D11*INDEX(Assumptions!$C$25:$G$30,MATCH($C11,Assumptions!$B$25:$B$30,0),4))</f>
        <v/>
      </c>
      <c r="I11" s="23">
        <f>IF($D11="","",$D11*INDEX(Assumptions!$C$25:$G$30,MATCH($C11,Assumptions!$B$25:$B$30,0),5))</f>
        <v/>
      </c>
      <c r="J11" s="23">
        <f>SUM(E11:I11)</f>
        <v/>
      </c>
      <c r="K11" s="24" t="n"/>
      <c r="L11" s="25" t="inlineStr">
        <is>
          <t>Managed RabbitMQ (CloudAMQP) / Pub/Sub</t>
        </is>
      </c>
    </row>
    <row r="12">
      <c r="B12" s="11" t="inlineStr">
        <is>
          <t>DR: pilot light in 2nd provider</t>
        </is>
      </c>
      <c r="C12" s="17" t="inlineStr">
        <is>
          <t>inflation</t>
        </is>
      </c>
      <c r="D12" s="18" t="n">
        <v>4800</v>
      </c>
      <c r="E12" s="23">
        <f>IF($D12="","",$D12*INDEX(Assumptions!$C$25:$G$30,MATCH($C12,Assumptions!$B$25:$B$30,0),1))</f>
        <v/>
      </c>
      <c r="F12" s="23">
        <f>IF($D12="","",$D12*INDEX(Assumptions!$C$25:$G$30,MATCH($C12,Assumptions!$B$25:$B$30,0),2))</f>
        <v/>
      </c>
      <c r="G12" s="23">
        <f>IF($D12="","",$D12*INDEX(Assumptions!$C$25:$G$30,MATCH($C12,Assumptions!$B$25:$B$30,0),3))</f>
        <v/>
      </c>
      <c r="H12" s="23">
        <f>IF($D12="","",$D12*INDEX(Assumptions!$C$25:$G$30,MATCH($C12,Assumptions!$B$25:$B$30,0),4))</f>
        <v/>
      </c>
      <c r="I12" s="23">
        <f>IF($D12="","",$D12*INDEX(Assumptions!$C$25:$G$30,MATCH($C12,Assumptions!$B$25:$B$30,0),5))</f>
        <v/>
      </c>
      <c r="J12" s="23">
        <f>SUM(E12:I12)</f>
        <v/>
      </c>
      <c r="K12" s="24" t="n"/>
      <c r="L12" s="25" t="inlineStr">
        <is>
          <t>Backups + IaC, 2 DBs</t>
        </is>
      </c>
    </row>
    <row r="13">
      <c r="B13" s="11" t="inlineStr">
        <is>
          <t>Data residency: in-country PII vaults (NG, KE)</t>
        </is>
      </c>
      <c r="C13" s="17" t="inlineStr">
        <is>
          <t>inflation</t>
        </is>
      </c>
      <c r="D13" s="18" t="n">
        <v>8400</v>
      </c>
      <c r="E13" s="23">
        <f>IF($D13="","",$D13*INDEX(Assumptions!$C$25:$G$30,MATCH($C13,Assumptions!$B$25:$B$30,0),1))</f>
        <v/>
      </c>
      <c r="F13" s="23">
        <f>IF($D13="","",$D13*INDEX(Assumptions!$C$25:$G$30,MATCH($C13,Assumptions!$B$25:$B$30,0),2))</f>
        <v/>
      </c>
      <c r="G13" s="23">
        <f>IF($D13="","",$D13*INDEX(Assumptions!$C$25:$G$30,MATCH($C13,Assumptions!$B$25:$B$30,0),3))</f>
        <v/>
      </c>
      <c r="H13" s="23">
        <f>IF($D13="","",$D13*INDEX(Assumptions!$C$25:$G$30,MATCH($C13,Assumptions!$B$25:$B$30,0),4))</f>
        <v/>
      </c>
      <c r="I13" s="23">
        <f>IF($D13="","",$D13*INDEX(Assumptions!$C$25:$G$30,MATCH($C13,Assumptions!$B$25:$B$30,0),5))</f>
        <v/>
      </c>
      <c r="J13" s="23">
        <f>SUM(E13:I13)</f>
        <v/>
      </c>
      <c r="K13" s="24" t="n"/>
      <c r="L13" s="25" t="inlineStr">
        <is>
          <t>Same as A</t>
        </is>
      </c>
    </row>
    <row r="14">
      <c r="B14" s="11" t="inlineStr">
        <is>
          <t>Cache: managed Redis (Multi-AZ)</t>
        </is>
      </c>
      <c r="C14" s="17" t="inlineStr">
        <is>
          <t>users</t>
        </is>
      </c>
      <c r="D14" s="18" t="n">
        <v>2400</v>
      </c>
      <c r="E14" s="23">
        <f>IF($D14="","",$D14*INDEX(Assumptions!$C$25:$G$30,MATCH($C14,Assumptions!$B$25:$B$30,0),1))</f>
        <v/>
      </c>
      <c r="F14" s="23">
        <f>IF($D14="","",$D14*INDEX(Assumptions!$C$25:$G$30,MATCH($C14,Assumptions!$B$25:$B$30,0),2))</f>
        <v/>
      </c>
      <c r="G14" s="23">
        <f>IF($D14="","",$D14*INDEX(Assumptions!$C$25:$G$30,MATCH($C14,Assumptions!$B$25:$B$30,0),3))</f>
        <v/>
      </c>
      <c r="H14" s="23">
        <f>IF($D14="","",$D14*INDEX(Assumptions!$C$25:$G$30,MATCH($C14,Assumptions!$B$25:$B$30,0),4))</f>
        <v/>
      </c>
      <c r="I14" s="23">
        <f>IF($D14="","",$D14*INDEX(Assumptions!$C$25:$G$30,MATCH($C14,Assumptions!$B$25:$B$30,0),5))</f>
        <v/>
      </c>
      <c r="J14" s="23">
        <f>SUM(E14:I14)</f>
        <v/>
      </c>
      <c r="K14" s="24" t="n"/>
      <c r="L14" s="25" t="inlineStr">
        <is>
          <t>Memorystore</t>
        </is>
      </c>
    </row>
    <row r="15">
      <c r="B15" s="26" t="inlineStr">
        <is>
          <t>Block total</t>
        </is>
      </c>
      <c r="C15" s="27" t="n"/>
      <c r="D15" s="27" t="n"/>
      <c r="E15" s="28">
        <f>SUM(E7:E14)</f>
        <v/>
      </c>
      <c r="F15" s="28">
        <f>SUM(F7:F14)</f>
        <v/>
      </c>
      <c r="G15" s="28">
        <f>SUM(G7:G14)</f>
        <v/>
      </c>
      <c r="H15" s="28">
        <f>SUM(H7:H14)</f>
        <v/>
      </c>
      <c r="I15" s="28">
        <f>SUM(I7:I14)</f>
        <v/>
      </c>
      <c r="J15" s="28">
        <f>SUM(J7:J14)</f>
        <v/>
      </c>
      <c r="K15" s="29">
        <f>IFERROR(J15/$J$51,0)</f>
        <v/>
      </c>
      <c r="L15" s="27" t="n"/>
    </row>
    <row r="16">
      <c r="C16" s="30" t="n"/>
    </row>
    <row r="17">
      <c r="B17" s="7" t="inlineStr">
        <is>
          <t>BLOCK 2. Licences, SaaS &amp; tools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</row>
    <row r="18">
      <c r="B18" s="11" t="inlineStr">
        <is>
          <t>Observability (metrics, logs, traces)</t>
        </is>
      </c>
      <c r="C18" s="17" t="inlineStr">
        <is>
          <t>users</t>
        </is>
      </c>
      <c r="D18" s="18" t="n">
        <v>4800</v>
      </c>
      <c r="E18" s="23">
        <f>IF($D18="","",$D18*INDEX(Assumptions!$C$25:$G$30,MATCH($C18,Assumptions!$B$25:$B$30,0),1))</f>
        <v/>
      </c>
      <c r="F18" s="23">
        <f>IF($D18="","",$D18*INDEX(Assumptions!$C$25:$G$30,MATCH($C18,Assumptions!$B$25:$B$30,0),2))</f>
        <v/>
      </c>
      <c r="G18" s="23">
        <f>IF($D18="","",$D18*INDEX(Assumptions!$C$25:$G$30,MATCH($C18,Assumptions!$B$25:$B$30,0),3))</f>
        <v/>
      </c>
      <c r="H18" s="23">
        <f>IF($D18="","",$D18*INDEX(Assumptions!$C$25:$G$30,MATCH($C18,Assumptions!$B$25:$B$30,0),4))</f>
        <v/>
      </c>
      <c r="I18" s="23">
        <f>IF($D18="","",$D18*INDEX(Assumptions!$C$25:$G$30,MATCH($C18,Assumptions!$B$25:$B$30,0),5))</f>
        <v/>
      </c>
      <c r="J18" s="23">
        <f>SUM(E18:I18)</f>
        <v/>
      </c>
      <c r="K18" s="24" t="n"/>
      <c r="L18" s="25" t="inlineStr">
        <is>
          <t>Grafana Cloud, 6 services, more traces</t>
        </is>
      </c>
    </row>
    <row r="19">
      <c r="B19" s="11" t="inlineStr">
        <is>
          <t>CI/CD, repo, artifacts</t>
        </is>
      </c>
      <c r="C19" s="17" t="inlineStr">
        <is>
          <t>inflation</t>
        </is>
      </c>
      <c r="D19" s="18" t="n">
        <v>2400</v>
      </c>
      <c r="E19" s="23">
        <f>IF($D19="","",$D19*INDEX(Assumptions!$C$25:$G$30,MATCH($C19,Assumptions!$B$25:$B$30,0),1))</f>
        <v/>
      </c>
      <c r="F19" s="23">
        <f>IF($D19="","",$D19*INDEX(Assumptions!$C$25:$G$30,MATCH($C19,Assumptions!$B$25:$B$30,0),2))</f>
        <v/>
      </c>
      <c r="G19" s="23">
        <f>IF($D19="","",$D19*INDEX(Assumptions!$C$25:$G$30,MATCH($C19,Assumptions!$B$25:$B$30,0),3))</f>
        <v/>
      </c>
      <c r="H19" s="23">
        <f>IF($D19="","",$D19*INDEX(Assumptions!$C$25:$G$30,MATCH($C19,Assumptions!$B$25:$B$30,0),4))</f>
        <v/>
      </c>
      <c r="I19" s="23">
        <f>IF($D19="","",$D19*INDEX(Assumptions!$C$25:$G$30,MATCH($C19,Assumptions!$B$25:$B$30,0),5))</f>
        <v/>
      </c>
      <c r="J19" s="23">
        <f>SUM(E19:I19)</f>
        <v/>
      </c>
      <c r="K19" s="24" t="n"/>
      <c r="L19" s="25" t="inlineStr">
        <is>
          <t>6 pipelines</t>
        </is>
      </c>
    </row>
    <row r="20">
      <c r="B20" s="11" t="inlineStr">
        <is>
          <t>Security: WAF, secrets, error tracking</t>
        </is>
      </c>
      <c r="C20" s="17" t="inlineStr">
        <is>
          <t>users</t>
        </is>
      </c>
      <c r="D20" s="18" t="n">
        <v>2400</v>
      </c>
      <c r="E20" s="23">
        <f>IF($D20="","",$D20*INDEX(Assumptions!$C$25:$G$30,MATCH($C20,Assumptions!$B$25:$B$30,0),1))</f>
        <v/>
      </c>
      <c r="F20" s="23">
        <f>IF($D20="","",$D20*INDEX(Assumptions!$C$25:$G$30,MATCH($C20,Assumptions!$B$25:$B$30,0),2))</f>
        <v/>
      </c>
      <c r="G20" s="23">
        <f>IF($D20="","",$D20*INDEX(Assumptions!$C$25:$G$30,MATCH($C20,Assumptions!$B$25:$B$30,0),3))</f>
        <v/>
      </c>
      <c r="H20" s="23">
        <f>IF($D20="","",$D20*INDEX(Assumptions!$C$25:$G$30,MATCH($C20,Assumptions!$B$25:$B$30,0),4))</f>
        <v/>
      </c>
      <c r="I20" s="23">
        <f>IF($D20="","",$D20*INDEX(Assumptions!$C$25:$G$30,MATCH($C20,Assumptions!$B$25:$B$30,0),5))</f>
        <v/>
      </c>
      <c r="J20" s="23">
        <f>SUM(E20:I20)</f>
        <v/>
      </c>
      <c r="K20" s="24" t="n"/>
      <c r="L20" s="25" t="inlineStr"/>
    </row>
    <row r="21" ht="15.75" customHeight="1" s="48">
      <c r="B21" s="11" t="inlineStr">
        <is>
          <t>WhatsApp Business API (BSP subscription)</t>
        </is>
      </c>
      <c r="C21" s="17" t="inlineStr">
        <is>
          <t>inflation</t>
        </is>
      </c>
      <c r="D21" s="18" t="n">
        <v>1200</v>
      </c>
      <c r="E21" s="23">
        <f>IF($D21="","",$D21*INDEX(Assumptions!$C$25:$G$30,MATCH($C21,Assumptions!$B$25:$B$30,0),1))</f>
        <v/>
      </c>
      <c r="F21" s="23">
        <f>IF($D21="","",$D21*INDEX(Assumptions!$C$25:$G$30,MATCH($C21,Assumptions!$B$25:$B$30,0),2))</f>
        <v/>
      </c>
      <c r="G21" s="23">
        <f>IF($D21="","",$D21*INDEX(Assumptions!$C$25:$G$30,MATCH($C21,Assumptions!$B$25:$B$30,0),3))</f>
        <v/>
      </c>
      <c r="H21" s="23">
        <f>IF($D21="","",$D21*INDEX(Assumptions!$C$25:$G$30,MATCH($C21,Assumptions!$B$25:$B$30,0),4))</f>
        <v/>
      </c>
      <c r="I21" s="23">
        <f>IF($D21="","",$D21*INDEX(Assumptions!$C$25:$G$30,MATCH($C21,Assumptions!$B$25:$B$30,0),5))</f>
        <v/>
      </c>
      <c r="J21" s="23">
        <f>SUM(E21:I21)</f>
        <v/>
      </c>
      <c r="K21" s="24" t="n"/>
      <c r="L21" s="25" t="inlineStr"/>
    </row>
    <row r="22" ht="15.75" customHeight="1" s="48">
      <c r="B22" s="11" t="inlineStr">
        <is>
          <t>Other SaaS</t>
        </is>
      </c>
      <c r="C22" s="17" t="inlineStr">
        <is>
          <t>inflation</t>
        </is>
      </c>
      <c r="D22" s="18" t="n">
        <v>1800</v>
      </c>
      <c r="E22" s="23">
        <f>IF($D22="","",$D22*INDEX(Assumptions!$C$25:$G$30,MATCH($C22,Assumptions!$B$25:$B$30,0),1))</f>
        <v/>
      </c>
      <c r="F22" s="23">
        <f>IF($D22="","",$D22*INDEX(Assumptions!$C$25:$G$30,MATCH($C22,Assumptions!$B$25:$B$30,0),2))</f>
        <v/>
      </c>
      <c r="G22" s="23">
        <f>IF($D22="","",$D22*INDEX(Assumptions!$C$25:$G$30,MATCH($C22,Assumptions!$B$25:$B$30,0),3))</f>
        <v/>
      </c>
      <c r="H22" s="23">
        <f>IF($D22="","",$D22*INDEX(Assumptions!$C$25:$G$30,MATCH($C22,Assumptions!$B$25:$B$30,0),4))</f>
        <v/>
      </c>
      <c r="I22" s="23">
        <f>IF($D22="","",$D22*INDEX(Assumptions!$C$25:$G$30,MATCH($C22,Assumptions!$B$25:$B$30,0),5))</f>
        <v/>
      </c>
      <c r="J22" s="23">
        <f>SUM(E22:I22)</f>
        <v/>
      </c>
      <c r="K22" s="24" t="n"/>
      <c r="L22" s="25" t="inlineStr"/>
    </row>
    <row r="23" ht="15.75" customHeight="1" s="48">
      <c r="B23" s="11" t="n"/>
      <c r="C23" s="17" t="inlineStr">
        <is>
          <t>fixed</t>
        </is>
      </c>
      <c r="D23" s="18" t="n"/>
      <c r="E23" s="23">
        <f>IF($D23="","",$D23*INDEX(Assumptions!$C$25:$G$30,MATCH($C23,Assumptions!$B$25:$B$30,0),1))</f>
        <v/>
      </c>
      <c r="F23" s="23">
        <f>IF($D23="","",$D23*INDEX(Assumptions!$C$25:$G$30,MATCH($C23,Assumptions!$B$25:$B$30,0),2))</f>
        <v/>
      </c>
      <c r="G23" s="23">
        <f>IF($D23="","",$D23*INDEX(Assumptions!$C$25:$G$30,MATCH($C23,Assumptions!$B$25:$B$30,0),3))</f>
        <v/>
      </c>
      <c r="H23" s="23">
        <f>IF($D23="","",$D23*INDEX(Assumptions!$C$25:$G$30,MATCH($C23,Assumptions!$B$25:$B$30,0),4))</f>
        <v/>
      </c>
      <c r="I23" s="23">
        <f>IF($D23="","",$D23*INDEX(Assumptions!$C$25:$G$30,MATCH($C23,Assumptions!$B$25:$B$30,0),5))</f>
        <v/>
      </c>
      <c r="J23" s="23">
        <f>SUM(E23:I23)</f>
        <v/>
      </c>
      <c r="K23" s="24" t="n"/>
      <c r="L23" s="25" t="n"/>
    </row>
    <row r="24" ht="15.75" customHeight="1" s="48">
      <c r="B24" s="26" t="inlineStr">
        <is>
          <t>Block total</t>
        </is>
      </c>
      <c r="C24" s="27" t="n"/>
      <c r="D24" s="27" t="n"/>
      <c r="E24" s="28">
        <f>SUM(E18:E23)</f>
        <v/>
      </c>
      <c r="F24" s="28">
        <f>SUM(F18:F23)</f>
        <v/>
      </c>
      <c r="G24" s="28">
        <f>SUM(G18:G23)</f>
        <v/>
      </c>
      <c r="H24" s="28">
        <f>SUM(H18:H23)</f>
        <v/>
      </c>
      <c r="I24" s="28">
        <f>SUM(I18:I23)</f>
        <v/>
      </c>
      <c r="J24" s="28">
        <f>SUM(J18:J23)</f>
        <v/>
      </c>
      <c r="K24" s="29">
        <f>IFERROR(J24/$J$51,0)</f>
        <v/>
      </c>
      <c r="L24" s="27" t="n"/>
    </row>
    <row r="25" ht="15.75" customHeight="1" s="48">
      <c r="C25" s="30" t="n"/>
    </row>
    <row r="26" ht="15.75" customHeight="1" s="48">
      <c r="B26" s="7" t="inlineStr">
        <is>
          <t>BLOCK 3. Transaction costs (Buy / Partner)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</row>
    <row r="27" ht="15.75" customHeight="1" s="48">
      <c r="B27" s="11" t="inlineStr">
        <is>
          <t>Payment provider fees (all-in, incl. payouts &amp; FX)</t>
        </is>
      </c>
      <c r="C27" s="17" t="inlineStr">
        <is>
          <t>GMV</t>
        </is>
      </c>
      <c r="D27" s="18" t="n">
        <v>250800</v>
      </c>
      <c r="E27" s="23">
        <f>IF($D27="","",$D27*INDEX(Assumptions!$C$25:$G$30,MATCH($C27,Assumptions!$B$25:$B$30,0),1))</f>
        <v/>
      </c>
      <c r="F27" s="23">
        <f>IF($D27="","",$D27*INDEX(Assumptions!$C$25:$G$30,MATCH($C27,Assumptions!$B$25:$B$30,0),2))</f>
        <v/>
      </c>
      <c r="G27" s="23">
        <f>IF($D27="","",$D27*INDEX(Assumptions!$C$25:$G$30,MATCH($C27,Assumptions!$B$25:$B$30,0),3))</f>
        <v/>
      </c>
      <c r="H27" s="23">
        <f>IF($D27="","",$D27*INDEX(Assumptions!$C$25:$G$30,MATCH($C27,Assumptions!$B$25:$B$30,0),4))</f>
        <v/>
      </c>
      <c r="I27" s="23">
        <f>IF($D27="","",$D27*INDEX(Assumptions!$C$25:$G$30,MATCH($C27,Assumptions!$B$25:$B$30,0),5))</f>
        <v/>
      </c>
      <c r="J27" s="23">
        <f>SUM(E27:I27)</f>
        <v/>
      </c>
      <c r="K27" s="24" t="n"/>
      <c r="L27" s="25" t="inlineStr">
        <is>
          <t>1.9% blended of Y1 GMV $13.2M - see Task5/adr-004 (cap 2.5%, A6 p.6)</t>
        </is>
      </c>
    </row>
    <row r="28" ht="15.75" customHeight="1" s="48">
      <c r="B28" s="11" t="inlineStr">
        <is>
          <t>SMS notifications</t>
        </is>
      </c>
      <c r="C28" s="17" t="inlineStr">
        <is>
          <t>orders</t>
        </is>
      </c>
      <c r="D28" s="18" t="n">
        <v>36000</v>
      </c>
      <c r="E28" s="23">
        <f>IF($D28="","",$D28*INDEX(Assumptions!$C$25:$G$30,MATCH($C28,Assumptions!$B$25:$B$30,0),1))</f>
        <v/>
      </c>
      <c r="F28" s="23">
        <f>IF($D28="","",$D28*INDEX(Assumptions!$C$25:$G$30,MATCH($C28,Assumptions!$B$25:$B$30,0),2))</f>
        <v/>
      </c>
      <c r="G28" s="23">
        <f>IF($D28="","",$D28*INDEX(Assumptions!$C$25:$G$30,MATCH($C28,Assumptions!$B$25:$B$30,0),3))</f>
        <v/>
      </c>
      <c r="H28" s="23">
        <f>IF($D28="","",$D28*INDEX(Assumptions!$C$25:$G$30,MATCH($C28,Assumptions!$B$25:$B$30,0),4))</f>
        <v/>
      </c>
      <c r="I28" s="23">
        <f>IF($D28="","",$D28*INDEX(Assumptions!$C$25:$G$30,MATCH($C28,Assumptions!$B$25:$B$30,0),5))</f>
        <v/>
      </c>
      <c r="J28" s="23">
        <f>SUM(E28:I28)</f>
        <v/>
      </c>
      <c r="K28" s="24" t="n"/>
      <c r="L28" s="25" t="inlineStr">
        <is>
          <t>3 SMS/order x $0.02 (Africa's Talking NG/KE)</t>
        </is>
      </c>
    </row>
    <row r="29" ht="15.75" customHeight="1" s="48">
      <c r="B29" s="11" t="inlineStr">
        <is>
          <t>WhatsApp messages (utility templates)</t>
        </is>
      </c>
      <c r="C29" s="17" t="inlineStr">
        <is>
          <t>orders</t>
        </is>
      </c>
      <c r="D29" s="18" t="n">
        <v>6000</v>
      </c>
      <c r="E29" s="23">
        <f>IF($D29="","",$D29*INDEX(Assumptions!$C$25:$G$30,MATCH($C29,Assumptions!$B$25:$B$30,0),1))</f>
        <v/>
      </c>
      <c r="F29" s="23">
        <f>IF($D29="","",$D29*INDEX(Assumptions!$C$25:$G$30,MATCH($C29,Assumptions!$B$25:$B$30,0),2))</f>
        <v/>
      </c>
      <c r="G29" s="23">
        <f>IF($D29="","",$D29*INDEX(Assumptions!$C$25:$G$30,MATCH($C29,Assumptions!$B$25:$B$30,0),3))</f>
        <v/>
      </c>
      <c r="H29" s="23">
        <f>IF($D29="","",$D29*INDEX(Assumptions!$C$25:$G$30,MATCH($C29,Assumptions!$B$25:$B$30,0),4))</f>
        <v/>
      </c>
      <c r="I29" s="23">
        <f>IF($D29="","",$D29*INDEX(Assumptions!$C$25:$G$30,MATCH($C29,Assumptions!$B$25:$B$30,0),5))</f>
        <v/>
      </c>
      <c r="J29" s="23">
        <f>SUM(E29:I29)</f>
        <v/>
      </c>
      <c r="K29" s="24" t="n"/>
      <c r="L29" s="25" t="inlineStr">
        <is>
          <t>~$0.01/order seller+buyer utility msgs</t>
        </is>
      </c>
    </row>
    <row r="30" ht="15.75" customHeight="1" s="48">
      <c r="B30" s="11" t="inlineStr">
        <is>
          <t>Logistics: partner API fees + delivery subsidy</t>
        </is>
      </c>
      <c r="C30" s="17" t="inlineStr">
        <is>
          <t>orders</t>
        </is>
      </c>
      <c r="D30" s="18" t="n">
        <v>90000</v>
      </c>
      <c r="E30" s="23">
        <f>IF($D30="","",$D30*INDEX(Assumptions!$C$25:$G$30,MATCH($C30,Assumptions!$B$25:$B$30,0),1))</f>
        <v/>
      </c>
      <c r="F30" s="23">
        <f>IF($D30="","",$D30*INDEX(Assumptions!$C$25:$G$30,MATCH($C30,Assumptions!$B$25:$B$30,0),2))</f>
        <v/>
      </c>
      <c r="G30" s="23">
        <f>IF($D30="","",$D30*INDEX(Assumptions!$C$25:$G$30,MATCH($C30,Assumptions!$B$25:$B$30,0),3))</f>
        <v/>
      </c>
      <c r="H30" s="23">
        <f>IF($D30="","",$D30*INDEX(Assumptions!$C$25:$G$30,MATCH($C30,Assumptions!$B$25:$B$30,0),4))</f>
        <v/>
      </c>
      <c r="I30" s="23">
        <f>IF($D30="","",$D30*INDEX(Assumptions!$C$25:$G$30,MATCH($C30,Assumptions!$B$25:$B$30,0),5))</f>
        <v/>
      </c>
      <c r="J30" s="23">
        <f>SUM(E30:I30)</f>
        <v/>
      </c>
      <c r="K30" s="24" t="n"/>
      <c r="L30" s="25" t="inlineStr">
        <is>
          <t>$0.15/order platform-paid on top of buyer delivery fee (Sendbox NG, Sendy KE)</t>
        </is>
      </c>
    </row>
    <row r="31" ht="15.75" customHeight="1" s="48">
      <c r="B31" s="11" t="inlineStr">
        <is>
          <t>USSD sessions + short codes (NG, KE)</t>
        </is>
      </c>
      <c r="C31" s="17" t="inlineStr">
        <is>
          <t>orders</t>
        </is>
      </c>
      <c r="D31" s="18" t="n">
        <v>12000</v>
      </c>
      <c r="E31" s="23">
        <f>IF($D31="","",$D31*INDEX(Assumptions!$C$25:$G$30,MATCH($C31,Assumptions!$B$25:$B$30,0),1))</f>
        <v/>
      </c>
      <c r="F31" s="23">
        <f>IF($D31="","",$D31*INDEX(Assumptions!$C$25:$G$30,MATCH($C31,Assumptions!$B$25:$B$30,0),2))</f>
        <v/>
      </c>
      <c r="G31" s="23">
        <f>IF($D31="","",$D31*INDEX(Assumptions!$C$25:$G$30,MATCH($C31,Assumptions!$B$25:$B$30,0),3))</f>
        <v/>
      </c>
      <c r="H31" s="23">
        <f>IF($D31="","",$D31*INDEX(Assumptions!$C$25:$G$30,MATCH($C31,Assumptions!$B$25:$B$30,0),4))</f>
        <v/>
      </c>
      <c r="I31" s="23">
        <f>IF($D31="","",$D31*INDEX(Assumptions!$C$25:$G$30,MATCH($C31,Assumptions!$B$25:$B$30,0),5))</f>
        <v/>
      </c>
      <c r="J31" s="23">
        <f>SUM(E31:I31)</f>
        <v/>
      </c>
      <c r="K31" s="24" t="n"/>
      <c r="L31" s="25" t="inlineStr">
        <is>
          <t>Africa's Talking USSD aggregator</t>
        </is>
      </c>
    </row>
    <row r="32" ht="15.75" customHeight="1" s="48">
      <c r="B32" s="26" t="inlineStr">
        <is>
          <t>Block total</t>
        </is>
      </c>
      <c r="C32" s="27" t="n"/>
      <c r="D32" s="27" t="n"/>
      <c r="E32" s="28">
        <f>SUM(E27:E31)</f>
        <v/>
      </c>
      <c r="F32" s="28">
        <f>SUM(F27:F31)</f>
        <v/>
      </c>
      <c r="G32" s="28">
        <f>SUM(G27:G31)</f>
        <v/>
      </c>
      <c r="H32" s="28">
        <f>SUM(H27:H31)</f>
        <v/>
      </c>
      <c r="I32" s="28">
        <f>SUM(I27:I31)</f>
        <v/>
      </c>
      <c r="J32" s="28">
        <f>SUM(J27:J31)</f>
        <v/>
      </c>
      <c r="K32" s="29">
        <f>IFERROR(J32/$J$51,0)</f>
        <v/>
      </c>
      <c r="L32" s="27" t="n"/>
    </row>
    <row r="33" ht="15.75" customHeight="1" s="48">
      <c r="C33" s="30" t="n"/>
    </row>
    <row r="34" ht="15.75" customHeight="1" s="48">
      <c r="B34" s="7" t="inlineStr">
        <is>
          <t>BLOCK 4. Team (payroll)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</row>
    <row r="35" ht="15.75" customHeight="1" s="48">
      <c r="B35" s="11" t="inlineStr">
        <is>
          <t>Development (FTE x annual rate)</t>
        </is>
      </c>
      <c r="C35" s="17" t="inlineStr">
        <is>
          <t>payroll</t>
        </is>
      </c>
      <c r="D35" s="18" t="n">
        <v>360000</v>
      </c>
      <c r="E35" s="23">
        <f>IF($D35="","",$D35*INDEX(Assumptions!$C$25:$G$30,MATCH($C35,Assumptions!$B$25:$B$30,0),1))</f>
        <v/>
      </c>
      <c r="F35" s="23">
        <f>IF($D35="","",$D35*INDEX(Assumptions!$C$25:$G$30,MATCH($C35,Assumptions!$B$25:$B$30,0),2))</f>
        <v/>
      </c>
      <c r="G35" s="23">
        <f>IF($D35="","",$D35*INDEX(Assumptions!$C$25:$G$30,MATCH($C35,Assumptions!$B$25:$B$30,0),3))</f>
        <v/>
      </c>
      <c r="H35" s="23">
        <f>IF($D35="","",$D35*INDEX(Assumptions!$C$25:$G$30,MATCH($C35,Assumptions!$B$25:$B$30,0),4))</f>
        <v/>
      </c>
      <c r="I35" s="23">
        <f>IF($D35="","",$D35*INDEX(Assumptions!$C$25:$G$30,MATCH($C35,Assumptions!$B$25:$B$30,0),5))</f>
        <v/>
      </c>
      <c r="J35" s="23">
        <f>SUM(E35:I35)</f>
        <v/>
      </c>
      <c r="K35" s="24" t="n"/>
      <c r="L35" s="25" t="inlineStr">
        <is>
          <t>6 developers (exceeds 6-contractor cap when SRE added)</t>
        </is>
      </c>
    </row>
    <row r="36" ht="15.75" customHeight="1" s="48">
      <c r="B36" s="11" t="inlineStr">
        <is>
          <t>DevOps / SRE</t>
        </is>
      </c>
      <c r="C36" s="17" t="inlineStr">
        <is>
          <t>payroll</t>
        </is>
      </c>
      <c r="D36" s="18" t="n">
        <v>144000</v>
      </c>
      <c r="E36" s="23">
        <f>IF($D36="","",$D36*INDEX(Assumptions!$C$25:$G$30,MATCH($C36,Assumptions!$B$25:$B$30,0),1))</f>
        <v/>
      </c>
      <c r="F36" s="23">
        <f>IF($D36="","",$D36*INDEX(Assumptions!$C$25:$G$30,MATCH($C36,Assumptions!$B$25:$B$30,0),2))</f>
        <v/>
      </c>
      <c r="G36" s="23">
        <f>IF($D36="","",$D36*INDEX(Assumptions!$C$25:$G$30,MATCH($C36,Assumptions!$B$25:$B$30,0),3))</f>
        <v/>
      </c>
      <c r="H36" s="23">
        <f>IF($D36="","",$D36*INDEX(Assumptions!$C$25:$G$30,MATCH($C36,Assumptions!$B$25:$B$30,0),4))</f>
        <v/>
      </c>
      <c r="I36" s="23">
        <f>IF($D36="","",$D36*INDEX(Assumptions!$C$25:$G$30,MATCH($C36,Assumptions!$B$25:$B$30,0),5))</f>
        <v/>
      </c>
      <c r="J36" s="23">
        <f>SUM(E36:I36)</f>
        <v/>
      </c>
      <c r="K36" s="24" t="n"/>
      <c r="L36" s="25" t="inlineStr">
        <is>
          <t>2 platform/SRE</t>
        </is>
      </c>
    </row>
    <row r="37" ht="15.75" customHeight="1" s="48">
      <c r="B37" s="11" t="inlineStr">
        <is>
          <t>On-call 24/7 (follow-the-sun stipend)</t>
        </is>
      </c>
      <c r="C37" s="17" t="inlineStr">
        <is>
          <t>payroll</t>
        </is>
      </c>
      <c r="D37" s="18" t="n">
        <v>24000</v>
      </c>
      <c r="E37" s="23">
        <f>IF($D37="","",$D37*INDEX(Assumptions!$C$25:$G$30,MATCH($C37,Assumptions!$B$25:$B$30,0),1))</f>
        <v/>
      </c>
      <c r="F37" s="23">
        <f>IF($D37="","",$D37*INDEX(Assumptions!$C$25:$G$30,MATCH($C37,Assumptions!$B$25:$B$30,0),2))</f>
        <v/>
      </c>
      <c r="G37" s="23">
        <f>IF($D37="","",$D37*INDEX(Assumptions!$C$25:$G$30,MATCH($C37,Assumptions!$B$25:$B$30,0),3))</f>
        <v/>
      </c>
      <c r="H37" s="23">
        <f>IF($D37="","",$D37*INDEX(Assumptions!$C$25:$G$30,MATCH($C37,Assumptions!$B$25:$B$30,0),4))</f>
        <v/>
      </c>
      <c r="I37" s="23">
        <f>IF($D37="","",$D37*INDEX(Assumptions!$C$25:$G$30,MATCH($C37,Assumptions!$B$25:$B$30,0),5))</f>
        <v/>
      </c>
      <c r="J37" s="23">
        <f>SUM(E37:I37)</f>
        <v/>
      </c>
      <c r="K37" s="24" t="n"/>
      <c r="L37" s="25" t="inlineStr"/>
    </row>
    <row r="38" ht="15.75" customHeight="1" s="48">
      <c r="B38" s="11" t="inlineStr">
        <is>
          <t>Architecture &amp; management</t>
        </is>
      </c>
      <c r="C38" s="17" t="inlineStr">
        <is>
          <t>payroll</t>
        </is>
      </c>
      <c r="D38" s="18" t="n">
        <v>200000</v>
      </c>
      <c r="E38" s="23">
        <f>IF($D38="","",$D38*INDEX(Assumptions!$C$25:$G$30,MATCH($C38,Assumptions!$B$25:$B$30,0),1))</f>
        <v/>
      </c>
      <c r="F38" s="23">
        <f>IF($D38="","",$D38*INDEX(Assumptions!$C$25:$G$30,MATCH($C38,Assumptions!$B$25:$B$30,0),2))</f>
        <v/>
      </c>
      <c r="G38" s="23">
        <f>IF($D38="","",$D38*INDEX(Assumptions!$C$25:$G$30,MATCH($C38,Assumptions!$B$25:$B$30,0),3))</f>
        <v/>
      </c>
      <c r="H38" s="23">
        <f>IF($D38="","",$D38*INDEX(Assumptions!$C$25:$G$30,MATCH($C38,Assumptions!$B$25:$B$30,0),4))</f>
        <v/>
      </c>
      <c r="I38" s="23">
        <f>IF($D38="","",$D38*INDEX(Assumptions!$C$25:$G$30,MATCH($C38,Assumptions!$B$25:$B$30,0),5))</f>
        <v/>
      </c>
      <c r="J38" s="23">
        <f>SUM(E38:I38)</f>
        <v/>
      </c>
      <c r="K38" s="24" t="n"/>
      <c r="L38" s="25" t="inlineStr">
        <is>
          <t>Same as A</t>
        </is>
      </c>
    </row>
    <row r="39" ht="15.75" customHeight="1" s="48">
      <c r="B39" s="11" t="inlineStr">
        <is>
          <t>Team growth from Y2 (+5 engineers)</t>
        </is>
      </c>
      <c r="C39" s="17" t="inlineStr">
        <is>
          <t>payroll</t>
        </is>
      </c>
      <c r="D39" s="18" t="n">
        <v>300000</v>
      </c>
      <c r="E39" s="23" t="n">
        <v>0</v>
      </c>
      <c r="F39" s="23">
        <f>IF($D39="","",$D39*INDEX(Assumptions!$C$25:$G$30,MATCH($C39,Assumptions!$B$25:$B$30,0),2))</f>
        <v/>
      </c>
      <c r="G39" s="23">
        <f>IF($D39="","",$D39*INDEX(Assumptions!$C$25:$G$30,MATCH($C39,Assumptions!$B$25:$B$30,0),3))</f>
        <v/>
      </c>
      <c r="H39" s="23">
        <f>IF($D39="","",$D39*INDEX(Assumptions!$C$25:$G$30,MATCH($C39,Assumptions!$B$25:$B$30,0),4))</f>
        <v/>
      </c>
      <c r="I39" s="23">
        <f>IF($D39="","",$D39*INDEX(Assumptions!$C$25:$G$30,MATCH($C39,Assumptions!$B$25:$B$30,0),5))</f>
        <v/>
      </c>
      <c r="J39" s="23">
        <f>SUM(E39:I39)</f>
        <v/>
      </c>
      <c r="K39" s="24" t="n"/>
      <c r="L39" s="25" t="inlineStr">
        <is>
          <t>Y1 = 0 (overridden)</t>
        </is>
      </c>
    </row>
    <row r="40" ht="15.75" customHeight="1" s="48">
      <c r="B40" s="26" t="inlineStr">
        <is>
          <t>Block total</t>
        </is>
      </c>
      <c r="C40" s="27" t="n"/>
      <c r="D40" s="27" t="n"/>
      <c r="E40" s="28">
        <f>SUM(E35:E39)</f>
        <v/>
      </c>
      <c r="F40" s="28">
        <f>SUM(F35:F39)</f>
        <v/>
      </c>
      <c r="G40" s="28">
        <f>SUM(G35:G39)</f>
        <v/>
      </c>
      <c r="H40" s="28">
        <f>SUM(H35:H39)</f>
        <v/>
      </c>
      <c r="I40" s="28">
        <f>SUM(I35:I39)</f>
        <v/>
      </c>
      <c r="J40" s="28">
        <f>SUM(J35:J39)</f>
        <v/>
      </c>
      <c r="K40" s="29">
        <f>IFERROR(J40/$J$51,0)</f>
        <v/>
      </c>
      <c r="L40" s="27" t="n"/>
    </row>
    <row r="41" ht="15.75" customHeight="1" s="48">
      <c r="C41" s="30" t="n"/>
    </row>
    <row r="42" ht="15.75" customHeight="1" s="48">
      <c r="B42" s="7" t="inlineStr">
        <is>
          <t>BLOCK 5. One-off &amp; compliance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</row>
    <row r="43" ht="15.75" customHeight="1" s="48">
      <c r="B43" s="11" t="inlineStr">
        <is>
          <t>Legal &amp; compliance (NDPR/NDPA, POPIA, KE DPA)</t>
        </is>
      </c>
      <c r="C43" s="17" t="inlineStr">
        <is>
          <t>fixed</t>
        </is>
      </c>
      <c r="D43" s="18" t="n">
        <v>30000</v>
      </c>
      <c r="E43" s="23">
        <f>IF($D43="","",$D43*INDEX(Assumptions!$C$25:$G$30,MATCH($C43,Assumptions!$B$25:$B$30,0),1))</f>
        <v/>
      </c>
      <c r="F43" s="23" t="n">
        <v>15000</v>
      </c>
      <c r="G43" s="23" t="n">
        <v>15000</v>
      </c>
      <c r="H43" s="23" t="n">
        <v>15000</v>
      </c>
      <c r="I43" s="23" t="n">
        <v>15000</v>
      </c>
      <c r="J43" s="23">
        <f>SUM(E43:I43)</f>
        <v/>
      </c>
      <c r="K43" s="24" t="n"/>
      <c r="L43" s="25" t="inlineStr">
        <is>
          <t>Y1: DPIA, NDPC/ODPC registration, outsourced DPO; Y2+: annual NDPC audit filing</t>
        </is>
      </c>
    </row>
    <row r="44" ht="15.75" customHeight="1" s="48">
      <c r="B44" s="11" t="inlineStr">
        <is>
          <t>Penetration test &amp; security audit</t>
        </is>
      </c>
      <c r="C44" s="17" t="inlineStr">
        <is>
          <t>inflation</t>
        </is>
      </c>
      <c r="D44" s="18" t="n">
        <v>12000</v>
      </c>
      <c r="E44" s="23">
        <f>IF($D44="","",$D44*INDEX(Assumptions!$C$25:$G$30,MATCH($C44,Assumptions!$B$25:$B$30,0),1))</f>
        <v/>
      </c>
      <c r="F44" s="23">
        <f>IF($D44="","",$D44*INDEX(Assumptions!$C$25:$G$30,MATCH($C44,Assumptions!$B$25:$B$30,0),2))</f>
        <v/>
      </c>
      <c r="G44" s="23">
        <f>IF($D44="","",$D44*INDEX(Assumptions!$C$25:$G$30,MATCH($C44,Assumptions!$B$25:$B$30,0),3))</f>
        <v/>
      </c>
      <c r="H44" s="23">
        <f>IF($D44="","",$D44*INDEX(Assumptions!$C$25:$G$30,MATCH($C44,Assumptions!$B$25:$B$30,0),4))</f>
        <v/>
      </c>
      <c r="I44" s="23">
        <f>IF($D44="","",$D44*INDEX(Assumptions!$C$25:$G$30,MATCH($C44,Assumptions!$B$25:$B$30,0),5))</f>
        <v/>
      </c>
      <c r="J44" s="23">
        <f>SUM(E44:I44)</f>
        <v/>
      </c>
      <c r="K44" s="24" t="n"/>
      <c r="L44" s="25" t="inlineStr">
        <is>
          <t>Annual, before peak season</t>
        </is>
      </c>
    </row>
    <row r="45" ht="15.75" customHeight="1" s="48">
      <c r="B45" s="11" t="inlineStr">
        <is>
          <t>Launch integrations &amp; certification</t>
        </is>
      </c>
      <c r="C45" s="17" t="inlineStr">
        <is>
          <t>fixed</t>
        </is>
      </c>
      <c r="D45" s="18" t="n">
        <v>15000</v>
      </c>
      <c r="E45" s="23">
        <f>IF($D45="","",$D45*INDEX(Assumptions!$C$25:$G$30,MATCH($C45,Assumptions!$B$25:$B$30,0),1))</f>
        <v/>
      </c>
      <c r="F45" s="23" t="n">
        <v>0</v>
      </c>
      <c r="G45" s="23" t="n">
        <v>0</v>
      </c>
      <c r="H45" s="23" t="n">
        <v>0</v>
      </c>
      <c r="I45" s="23" t="n">
        <v>0</v>
      </c>
      <c r="J45" s="23">
        <f>SUM(E45:I45)</f>
        <v/>
      </c>
      <c r="K45" s="24" t="n"/>
      <c r="L45" s="25" t="inlineStr">
        <is>
          <t>One-off</t>
        </is>
      </c>
    </row>
    <row r="46" ht="15.75" customHeight="1" s="48">
      <c r="B46" s="11" t="inlineStr">
        <is>
          <t>Training &amp; hiring</t>
        </is>
      </c>
      <c r="C46" s="17" t="inlineStr">
        <is>
          <t>payroll</t>
        </is>
      </c>
      <c r="D46" s="18" t="n">
        <v>20000</v>
      </c>
      <c r="E46" s="23">
        <f>IF($D46="","",$D46*INDEX(Assumptions!$C$25:$G$30,MATCH($C46,Assumptions!$B$25:$B$30,0),1))</f>
        <v/>
      </c>
      <c r="F46" s="23">
        <f>IF($D46="","",$D46*INDEX(Assumptions!$C$25:$G$30,MATCH($C46,Assumptions!$B$25:$B$30,0),2))</f>
        <v/>
      </c>
      <c r="G46" s="23">
        <f>IF($D46="","",$D46*INDEX(Assumptions!$C$25:$G$30,MATCH($C46,Assumptions!$B$25:$B$30,0),3))</f>
        <v/>
      </c>
      <c r="H46" s="23">
        <f>IF($D46="","",$D46*INDEX(Assumptions!$C$25:$G$30,MATCH($C46,Assumptions!$B$25:$B$30,0),4))</f>
        <v/>
      </c>
      <c r="I46" s="23">
        <f>IF($D46="","",$D46*INDEX(Assumptions!$C$25:$G$30,MATCH($C46,Assumptions!$B$25:$B$30,0),5))</f>
        <v/>
      </c>
      <c r="J46" s="23">
        <f>SUM(E46:I46)</f>
        <v/>
      </c>
      <c r="K46" s="24" t="n"/>
      <c r="L46" s="25" t="inlineStr">
        <is>
          <t>2 extra contractors</t>
        </is>
      </c>
    </row>
    <row r="47" ht="15.75" customHeight="1" s="48">
      <c r="B47" s="11" t="n"/>
      <c r="C47" s="17" t="inlineStr">
        <is>
          <t>fixed</t>
        </is>
      </c>
      <c r="D47" s="18" t="n"/>
      <c r="E47" s="23">
        <f>IF($D47="","",$D47*INDEX(Assumptions!$C$25:$G$30,MATCH($C47,Assumptions!$B$25:$B$30,0),1))</f>
        <v/>
      </c>
      <c r="F47" s="23">
        <f>IF($D47="","",$D47*INDEX(Assumptions!$C$25:$G$30,MATCH($C47,Assumptions!$B$25:$B$30,0),2))</f>
        <v/>
      </c>
      <c r="G47" s="23">
        <f>IF($D47="","",$D47*INDEX(Assumptions!$C$25:$G$30,MATCH($C47,Assumptions!$B$25:$B$30,0),3))</f>
        <v/>
      </c>
      <c r="H47" s="23">
        <f>IF($D47="","",$D47*INDEX(Assumptions!$C$25:$G$30,MATCH($C47,Assumptions!$B$25:$B$30,0),4))</f>
        <v/>
      </c>
      <c r="I47" s="23">
        <f>IF($D47="","",$D47*INDEX(Assumptions!$C$25:$G$30,MATCH($C47,Assumptions!$B$25:$B$30,0),5))</f>
        <v/>
      </c>
      <c r="J47" s="23">
        <f>SUM(E47:I47)</f>
        <v/>
      </c>
      <c r="K47" s="24" t="n"/>
      <c r="L47" s="25" t="n"/>
    </row>
    <row r="48" ht="15.75" customHeight="1" s="48">
      <c r="B48" s="26" t="inlineStr">
        <is>
          <t>Block total</t>
        </is>
      </c>
      <c r="C48" s="27" t="n"/>
      <c r="D48" s="27" t="n"/>
      <c r="E48" s="28">
        <f>SUM(E43:E47)</f>
        <v/>
      </c>
      <c r="F48" s="28">
        <f>SUM(F43:F47)</f>
        <v/>
      </c>
      <c r="G48" s="28">
        <f>SUM(G43:G47)</f>
        <v/>
      </c>
      <c r="H48" s="28">
        <f>SUM(H43:H47)</f>
        <v/>
      </c>
      <c r="I48" s="28">
        <f>SUM(I43:I47)</f>
        <v/>
      </c>
      <c r="J48" s="28">
        <f>SUM(J43:J47)</f>
        <v/>
      </c>
      <c r="K48" s="29">
        <f>IFERROR(J48/$J$51,0)</f>
        <v/>
      </c>
      <c r="L48" s="27" t="n"/>
    </row>
    <row r="49" ht="15.75" customHeight="1" s="48">
      <c r="C49" s="30" t="n"/>
    </row>
    <row r="50" ht="15.75" customHeight="1" s="48">
      <c r="B50" s="15" t="inlineStr">
        <is>
          <t>Contingency</t>
        </is>
      </c>
      <c r="C50" s="30" t="n"/>
      <c r="E50" s="31">
        <f>(E15+E24+E32+E40+E48)*Assumptions!$C$17</f>
        <v/>
      </c>
      <c r="F50" s="31">
        <f>(F15+F24+F32+F40+F48)*Assumptions!$C$17</f>
        <v/>
      </c>
      <c r="G50" s="31">
        <f>(G15+G24+G32+G40+G48)*Assumptions!$C$17</f>
        <v/>
      </c>
      <c r="H50" s="31">
        <f>(H15+H24+H32+H40+H48)*Assumptions!$C$17</f>
        <v/>
      </c>
      <c r="I50" s="31">
        <f>(I15+I24+I32+I40+I48)*Assumptions!$C$17</f>
        <v/>
      </c>
      <c r="J50" s="23">
        <f>SUM(E50:I50)</f>
        <v/>
      </c>
      <c r="L50" s="6" t="inlineStr">
        <is>
          <t>Blocks 1-5 x contingency rate</t>
        </is>
      </c>
    </row>
    <row r="51" ht="15.75" customHeight="1" s="48">
      <c r="B51" s="26" t="inlineStr">
        <is>
          <t>TOTAL direct costs (TCO excl. downtime)</t>
        </is>
      </c>
      <c r="C51" s="30" t="n"/>
      <c r="E51" s="28">
        <f>E15+E24+E32+E40+E48+E50</f>
        <v/>
      </c>
      <c r="F51" s="28">
        <f>F15+F24+F32+F40+F48+F50</f>
        <v/>
      </c>
      <c r="G51" s="28">
        <f>G15+G24+G32+G40+G48+G50</f>
        <v/>
      </c>
      <c r="H51" s="28">
        <f>H15+H24+H32+H40+H48+H50</f>
        <v/>
      </c>
      <c r="I51" s="28">
        <f>I15+I24+I32+I40+I48+I50</f>
        <v/>
      </c>
      <c r="J51" s="28">
        <f>SUM(E51:I51)</f>
        <v/>
      </c>
    </row>
    <row r="52" ht="15.75" customHeight="1" s="48">
      <c r="B52" s="7" t="inlineStr">
        <is>
          <t>BLOCK 6. Cost of unavailability (risk)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</row>
    <row r="53" ht="15.75" customHeight="1" s="48">
      <c r="B53" s="11" t="inlineStr">
        <is>
          <t>Expected downtime loss at target SLO</t>
        </is>
      </c>
      <c r="C53" t="inlineStr">
        <is>
          <t>SLO -&gt;</t>
        </is>
      </c>
      <c r="D53" s="58" t="n">
        <v>0.9995000000000001</v>
      </c>
      <c r="E53" s="31">
        <f>(1-$D$53)*525600*Assumptions!$C$19*Assumptions!$C$21</f>
        <v/>
      </c>
      <c r="F53" s="31">
        <f>(1-$D$53)*525600*Assumptions!$C$19*Assumptions!$C$21</f>
        <v/>
      </c>
      <c r="G53" s="31">
        <f>(1-$D$53)*525600*Assumptions!$C$19*Assumptions!$C$21</f>
        <v/>
      </c>
      <c r="H53" s="31">
        <f>(1-$D$53)*525600*Assumptions!$C$19*Assumptions!$C$21</f>
        <v/>
      </c>
      <c r="I53" s="31">
        <f>(1-$D$53)*525600*Assumptions!$C$19*Assumptions!$C$21</f>
        <v/>
      </c>
      <c r="J53" s="23">
        <f>SUM(E53:I53)</f>
        <v/>
      </c>
      <c r="L53" s="13" t="inlineStr">
        <is>
          <t>(1 - SLO in D53) x 525,600 min x loss/min x switch</t>
        </is>
      </c>
    </row>
    <row r="54" ht="15.75" customHeight="1" s="48">
      <c r="B54" s="26" t="inlineStr">
        <is>
          <t>TOTAL TCO incl. downtime</t>
        </is>
      </c>
      <c r="E54" s="28">
        <f>E51+E53</f>
        <v/>
      </c>
      <c r="F54" s="28">
        <f>F51+F53</f>
        <v/>
      </c>
      <c r="G54" s="28">
        <f>G51+G53</f>
        <v/>
      </c>
      <c r="H54" s="28">
        <f>H51+H53</f>
        <v/>
      </c>
      <c r="I54" s="28">
        <f>I51+I53</f>
        <v/>
      </c>
      <c r="J54" s="28">
        <f>SUM(E54:I54)</f>
        <v/>
      </c>
    </row>
    <row r="55" ht="15.75" customHeight="1" s="48">
      <c r="B55" s="11" t="inlineStr">
        <is>
          <t>Discount factor</t>
        </is>
      </c>
      <c r="E55" s="32">
        <f>1/(1+Assumptions!$C$16)^0</f>
        <v/>
      </c>
      <c r="F55" s="32">
        <f>1/(1+Assumptions!$C$16)^1</f>
        <v/>
      </c>
      <c r="G55" s="32">
        <f>1/(1+Assumptions!$C$16)^2</f>
        <v/>
      </c>
      <c r="H55" s="32">
        <f>1/(1+Assumptions!$C$16)^3</f>
        <v/>
      </c>
      <c r="I55" s="32">
        <f>1/(1+Assumptions!$C$16)^4</f>
        <v/>
      </c>
    </row>
    <row r="56" ht="15.75" customHeight="1" s="48">
      <c r="B56" s="26" t="inlineStr">
        <is>
          <t>Discounted TCO (NPV of costs)</t>
        </is>
      </c>
      <c r="E56" s="28">
        <f>E54*E55</f>
        <v/>
      </c>
      <c r="F56" s="28">
        <f>F54*F55</f>
        <v/>
      </c>
      <c r="G56" s="28">
        <f>G54*G55</f>
        <v/>
      </c>
      <c r="H56" s="28">
        <f>H54*H55</f>
        <v/>
      </c>
      <c r="I56" s="28">
        <f>I54*I55</f>
        <v/>
      </c>
      <c r="J56" s="28">
        <f>SUM(E56:I56)</f>
        <v/>
      </c>
    </row>
    <row r="57" ht="15.75" customHeight="1" s="48"/>
    <row r="58" ht="15.75" customHeight="1" s="48">
      <c r="B58" s="7" t="inlineStr">
        <is>
          <t>Key metrics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</row>
    <row r="59" ht="15.75" customHeight="1" s="48">
      <c r="B59" s="15" t="inlineStr">
        <is>
          <t>5-yr TCO, direct costs</t>
        </is>
      </c>
      <c r="E59" s="59">
        <f>J51</f>
        <v/>
      </c>
      <c r="F59" s="60" t="n"/>
      <c r="L59" s="13" t="inlineStr">
        <is>
          <t>Main comparison figure for ADR-001</t>
        </is>
      </c>
    </row>
    <row r="60" ht="15.75" customHeight="1" s="48">
      <c r="B60" s="15" t="inlineStr">
        <is>
          <t>5-yr TCO incl. downtime</t>
        </is>
      </c>
      <c r="E60" s="59">
        <f>J54</f>
        <v/>
      </c>
      <c r="F60" s="60" t="n"/>
      <c r="L60" s="13" t="inlineStr">
        <is>
          <t>Price of unavailability</t>
        </is>
      </c>
    </row>
    <row r="61" ht="15.75" customHeight="1" s="48">
      <c r="B61" s="15" t="inlineStr">
        <is>
          <t>NPV of costs, 5 yrs</t>
        </is>
      </c>
      <c r="E61" s="59">
        <f>J56</f>
        <v/>
      </c>
      <c r="F61" s="60" t="n"/>
      <c r="L61" s="13" t="inlineStr">
        <is>
          <t>Discounted to today</t>
        </is>
      </c>
    </row>
    <row r="62" ht="15.75" customHeight="1" s="48">
      <c r="B62" s="15" t="inlineStr">
        <is>
          <t>Average cost per year</t>
        </is>
      </c>
      <c r="E62" s="59">
        <f>J51/5</f>
        <v/>
      </c>
      <c r="F62" s="60" t="n"/>
      <c r="L62" s="13" t="inlineStr">
        <is>
          <t>Planning reference</t>
        </is>
      </c>
    </row>
    <row r="63" ht="15.75" customHeight="1" s="48">
      <c r="B63" s="15" t="inlineStr">
        <is>
          <t>Cloud (Block 1), $/mo in Year 1</t>
        </is>
      </c>
      <c r="E63" s="59">
        <f>E15/12</f>
        <v/>
      </c>
      <c r="F63" s="60" t="n"/>
      <c r="L63" s="13" t="inlineStr">
        <is>
          <t>Compared with CFO cap</t>
        </is>
      </c>
    </row>
    <row r="64" ht="15.75" customHeight="1" s="48">
      <c r="B64" s="15" t="inlineStr">
        <is>
          <t>CFO cap check, Year 1 (Block 1)</t>
        </is>
      </c>
      <c r="E64" s="61">
        <f>IF(E15/12&lt;=Assumptions!$C$18,"Within CFO cap","OVER CFO cap")</f>
        <v/>
      </c>
      <c r="F64" s="60" t="n"/>
      <c r="L64" s="13" t="inlineStr">
        <is>
          <t>Block 1+2 check (CFO counts SaaS too) - see Comparison sheet</t>
        </is>
      </c>
    </row>
    <row r="65" ht="15.75" customHeight="1" s="48">
      <c r="B65" s="15" t="inlineStr">
        <is>
          <t>TCO per order, 5 yrs</t>
        </is>
      </c>
      <c r="E65" s="62">
        <f>IFERROR(J51/SUM(Assumptions!$C$8:$G$8),0)</f>
        <v/>
      </c>
      <c r="F65" s="60" t="n"/>
      <c r="L65" s="13" t="inlineStr">
        <is>
          <t>IT + transaction cost inside one order</t>
        </is>
      </c>
    </row>
    <row r="66" ht="15.75" customHeight="1" s="48">
      <c r="B66" s="15" t="inlineStr">
        <is>
          <t>TCO per active user (Year 5)</t>
        </is>
      </c>
      <c r="E66" s="62">
        <f>IFERROR(I51/Assumptions!$G$7,0)</f>
        <v/>
      </c>
      <c r="F66" s="60" t="n"/>
      <c r="L66" s="13" t="inlineStr">
        <is>
          <t>Scalability check</t>
        </is>
      </c>
    </row>
    <row r="67" ht="15.75" customHeight="1" s="48">
      <c r="B67" s="15" t="inlineStr">
        <is>
          <t>IT cost as share of GMV, 5 yrs</t>
        </is>
      </c>
      <c r="E67" s="63">
        <f>IFERROR(J51/SUM(Assumptions!$C$10:$G$10),0)</f>
        <v/>
      </c>
      <c r="F67" s="60" t="n"/>
      <c r="L67" s="13" t="inlineStr">
        <is>
          <t>Healthy marketplace: low single-digit %</t>
        </is>
      </c>
    </row>
    <row r="68" ht="15.75" customHeight="1" s="48">
      <c r="B68" s="15" t="inlineStr">
        <is>
          <t>Cloud share of TCO</t>
        </is>
      </c>
      <c r="E68" s="64">
        <f>IFERROR(J15/J51,0)</f>
        <v/>
      </c>
      <c r="F68" s="60" t="n"/>
      <c r="L68" s="13" t="inlineStr"/>
    </row>
    <row r="69" ht="15.75" customHeight="1" s="48">
      <c r="B69" s="15" t="inlineStr">
        <is>
          <t>Transaction cost share of TCO</t>
        </is>
      </c>
      <c r="E69" s="64">
        <f>IFERROR(J32/J51,0)</f>
        <v/>
      </c>
      <c r="F69" s="60" t="n"/>
      <c r="L69" s="13" t="inlineStr">
        <is>
          <t>Grows with GMV</t>
        </is>
      </c>
    </row>
    <row r="70" ht="15.75" customHeight="1" s="48">
      <c r="B70" s="15" t="inlineStr">
        <is>
          <t>Team (payroll) share of TCO</t>
        </is>
      </c>
      <c r="E70" s="64">
        <f>IFERROR(J40/J51,0)</f>
        <v/>
      </c>
      <c r="F70" s="60" t="n"/>
      <c r="L70" s="13" t="inlineStr">
        <is>
          <t>Usually the largest item</t>
        </is>
      </c>
    </row>
    <row r="71" ht="15.75" customHeight="1" s="48"/>
    <row r="72" ht="15.75" customHeight="1" s="48">
      <c r="B72" s="39" t="inlineStr">
        <is>
          <t>Conclusion for ADR-001</t>
        </is>
      </c>
    </row>
    <row r="73" ht="15" customHeight="1" s="48">
      <c r="B73" s="65" t="inlineStr">
        <is>
          <t>5-yr direct TCO $46,381,572; Block 1+2 = $6,150/mo in Y1 - exceeds the $5k cap (needs CFO approval, A6 p.2) and needs 8 engineers vs 6 contractors.</t>
        </is>
      </c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7" t="n"/>
    </row>
    <row r="74" ht="15.75" customHeight="1" s="48">
      <c r="B74" s="68" t="n"/>
      <c r="L74" s="69" t="n"/>
    </row>
    <row r="75" ht="15.75" customHeight="1" s="48">
      <c r="B75" s="70" t="n"/>
      <c r="C75" s="71" t="n"/>
      <c r="D75" s="71" t="n"/>
      <c r="E75" s="71" t="n"/>
      <c r="F75" s="71" t="n"/>
      <c r="G75" s="71" t="n"/>
      <c r="H75" s="71" t="n"/>
      <c r="I75" s="71" t="n"/>
      <c r="J75" s="71" t="n"/>
      <c r="K75" s="71" t="n"/>
      <c r="L75" s="72" t="n"/>
    </row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4">
    <mergeCell ref="E59:F59"/>
    <mergeCell ref="B73:L75"/>
    <mergeCell ref="E68:F68"/>
    <mergeCell ref="E62:F62"/>
    <mergeCell ref="B72:L72"/>
    <mergeCell ref="E63:F63"/>
    <mergeCell ref="E67:F67"/>
    <mergeCell ref="E69:F69"/>
    <mergeCell ref="E66:F66"/>
    <mergeCell ref="E61:F61"/>
    <mergeCell ref="E60:F60"/>
    <mergeCell ref="E70:F70"/>
    <mergeCell ref="E64:F64"/>
    <mergeCell ref="E65:F65"/>
  </mergeCells>
  <dataValidations count="1">
    <dataValidation sqref="C6:C51" showDropDown="0" showInputMessage="0" showErrorMessage="0" allowBlank="1" type="list">
      <formula1>"fixed,inflation,payroll,users,orders,GMV"</formula1>
    </dataValidation>
  </dataValidation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ColWidth="14.43" defaultRowHeight="15" customHeight="1"/>
  <cols>
    <col width="3" customWidth="1" style="48" min="1" max="1"/>
    <col width="44" customWidth="1" style="48" min="2" max="2"/>
    <col width="16" customWidth="1" style="48" min="3" max="3"/>
    <col width="15" customWidth="1" style="48" min="4" max="4"/>
    <col width="14" customWidth="1" style="48" min="5" max="10"/>
    <col width="10" customWidth="1" style="48" min="11" max="11"/>
    <col width="46" customWidth="1" style="48" min="12" max="12"/>
    <col width="8.710000000000001" customWidth="1" style="48" min="13" max="26"/>
  </cols>
  <sheetData>
    <row r="1">
      <c r="B1" s="53" t="inlineStr">
        <is>
          <t>Option C - CTO proposal: 40-50 microservices, Istio, Kafka, Oracle, 3 clusters, build logistics &amp; payments</t>
        </is>
      </c>
    </row>
    <row r="2">
      <c r="B2" s="1" t="inlineStr">
        <is>
          <t>5-year TCO - Africa Delivery</t>
        </is>
      </c>
    </row>
    <row r="3">
      <c r="B3" s="6" t="inlineStr">
        <is>
          <t>Inputs: 'Growth driver' and 'Base, $/yr (Year 1)'. Years 1-5 are calculated.</t>
        </is>
      </c>
    </row>
    <row r="4"/>
    <row r="5" ht="31.5" customHeight="1" s="48">
      <c r="B5" s="9" t="inlineStr">
        <is>
          <t>Cost item</t>
        </is>
      </c>
      <c r="C5" s="9" t="inlineStr">
        <is>
          <t>Growth driver</t>
        </is>
      </c>
      <c r="D5" s="9" t="inlineStr">
        <is>
          <t>Base, $/yr (Year 1)</t>
        </is>
      </c>
      <c r="E5" s="9" t="inlineStr">
        <is>
          <t>Year 1</t>
        </is>
      </c>
      <c r="F5" s="9" t="inlineStr">
        <is>
          <t>Year 2</t>
        </is>
      </c>
      <c r="G5" s="9" t="inlineStr">
        <is>
          <t>Year 3</t>
        </is>
      </c>
      <c r="H5" s="9" t="inlineStr">
        <is>
          <t>Year 4</t>
        </is>
      </c>
      <c r="I5" s="9" t="inlineStr">
        <is>
          <t>Year 5</t>
        </is>
      </c>
      <c r="J5" s="9" t="inlineStr">
        <is>
          <t>Total 5 yrs</t>
        </is>
      </c>
      <c r="K5" s="9" t="inlineStr">
        <is>
          <t>Share</t>
        </is>
      </c>
      <c r="L5" s="9" t="inlineStr">
        <is>
          <t>Comment / source</t>
        </is>
      </c>
    </row>
    <row r="6">
      <c r="B6" s="7" t="inlineStr">
        <is>
          <t>BLOCK 1. Cloud infrastructure (OpEx)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B7" s="11" t="inlineStr">
        <is>
          <t>Compute: 3 Kubernetes clusters</t>
        </is>
      </c>
      <c r="C7" s="17" t="inlineStr">
        <is>
          <t>users</t>
        </is>
      </c>
      <c r="D7" s="18" t="n">
        <v>68400</v>
      </c>
      <c r="E7" s="23">
        <f>IF($D7="","",$D7*INDEX(Assumptions!$C$25:$G$30,MATCH($C7,Assumptions!$B$25:$B$30,0),1))</f>
        <v/>
      </c>
      <c r="F7" s="23">
        <f>IF($D7="","",$D7*INDEX(Assumptions!$C$25:$G$30,MATCH($C7,Assumptions!$B$25:$B$30,0),2))</f>
        <v/>
      </c>
      <c r="G7" s="23">
        <f>IF($D7="","",$D7*INDEX(Assumptions!$C$25:$G$30,MATCH($C7,Assumptions!$B$25:$B$30,0),3))</f>
        <v/>
      </c>
      <c r="H7" s="23">
        <f>IF($D7="","",$D7*INDEX(Assumptions!$C$25:$G$30,MATCH($C7,Assumptions!$B$25:$B$30,0),4))</f>
        <v/>
      </c>
      <c r="I7" s="23">
        <f>IF($D7="","",$D7*INDEX(Assumptions!$C$25:$G$30,MATCH($C7,Assumptions!$B$25:$B$30,0),5))</f>
        <v/>
      </c>
      <c r="J7" s="23">
        <f>SUM(E7:I7)</f>
        <v/>
      </c>
      <c r="K7" s="24" t="n"/>
      <c r="L7" s="25" t="inlineStr">
        <is>
          <t>GCP africa-south1 + AWS af-south-1 + on-prem Lagos, 6 nodes each; Istio overhead ~25%</t>
        </is>
      </c>
    </row>
    <row r="8">
      <c r="B8" s="11" t="inlineStr">
        <is>
          <t>Databases: self-run Oracle + Postgres operators</t>
        </is>
      </c>
      <c r="C8" s="17" t="inlineStr">
        <is>
          <t>users</t>
        </is>
      </c>
      <c r="D8" s="18" t="n">
        <v>21600</v>
      </c>
      <c r="E8" s="23">
        <f>IF($D8="","",$D8*INDEX(Assumptions!$C$25:$G$30,MATCH($C8,Assumptions!$B$25:$B$30,0),1))</f>
        <v/>
      </c>
      <c r="F8" s="23">
        <f>IF($D8="","",$D8*INDEX(Assumptions!$C$25:$G$30,MATCH($C8,Assumptions!$B$25:$B$30,0),2))</f>
        <v/>
      </c>
      <c r="G8" s="23">
        <f>IF($D8="","",$D8*INDEX(Assumptions!$C$25:$G$30,MATCH($C8,Assumptions!$B$25:$B$30,0),3))</f>
        <v/>
      </c>
      <c r="H8" s="23">
        <f>IF($D8="","",$D8*INDEX(Assumptions!$C$25:$G$30,MATCH($C8,Assumptions!$B$25:$B$30,0),4))</f>
        <v/>
      </c>
      <c r="I8" s="23">
        <f>IF($D8="","",$D8*INDEX(Assumptions!$C$25:$G$30,MATCH($C8,Assumptions!$B$25:$B$30,0),5))</f>
        <v/>
      </c>
      <c r="J8" s="23">
        <f>SUM(E8:I8)</f>
        <v/>
      </c>
      <c r="K8" s="24" t="n"/>
      <c r="L8" s="25" t="inlineStr">
        <is>
          <t>Oracle on 2x r6i.xlarge (Data Guard) + Postgres for edge services</t>
        </is>
      </c>
    </row>
    <row r="9">
      <c r="B9" s="11" t="inlineStr">
        <is>
          <t>Object storage &amp; backups</t>
        </is>
      </c>
      <c r="C9" s="17" t="inlineStr">
        <is>
          <t>users</t>
        </is>
      </c>
      <c r="D9" s="18" t="n">
        <v>4800</v>
      </c>
      <c r="E9" s="23">
        <f>IF($D9="","",$D9*INDEX(Assumptions!$C$25:$G$30,MATCH($C9,Assumptions!$B$25:$B$30,0),1))</f>
        <v/>
      </c>
      <c r="F9" s="23">
        <f>IF($D9="","",$D9*INDEX(Assumptions!$C$25:$G$30,MATCH($C9,Assumptions!$B$25:$B$30,0),2))</f>
        <v/>
      </c>
      <c r="G9" s="23">
        <f>IF($D9="","",$D9*INDEX(Assumptions!$C$25:$G$30,MATCH($C9,Assumptions!$B$25:$B$30,0),3))</f>
        <v/>
      </c>
      <c r="H9" s="23">
        <f>IF($D9="","",$D9*INDEX(Assumptions!$C$25:$G$30,MATCH($C9,Assumptions!$B$25:$B$30,0),4))</f>
        <v/>
      </c>
      <c r="I9" s="23">
        <f>IF($D9="","",$D9*INDEX(Assumptions!$C$25:$G$30,MATCH($C9,Assumptions!$B$25:$B$30,0),5))</f>
        <v/>
      </c>
      <c r="J9" s="23">
        <f>SUM(E9:I9)</f>
        <v/>
      </c>
      <c r="K9" s="24" t="n"/>
      <c r="L9" s="25" t="inlineStr"/>
    </row>
    <row r="10">
      <c r="B10" s="11" t="inlineStr">
        <is>
          <t>CDN &amp; cross-cloud replication egress</t>
        </is>
      </c>
      <c r="C10" s="17" t="inlineStr">
        <is>
          <t>users</t>
        </is>
      </c>
      <c r="D10" s="18" t="n">
        <v>18000</v>
      </c>
      <c r="E10" s="23">
        <f>IF($D10="","",$D10*INDEX(Assumptions!$C$25:$G$30,MATCH($C10,Assumptions!$B$25:$B$30,0),1))</f>
        <v/>
      </c>
      <c r="F10" s="23">
        <f>IF($D10="","",$D10*INDEX(Assumptions!$C$25:$G$30,MATCH($C10,Assumptions!$B$25:$B$30,0),2))</f>
        <v/>
      </c>
      <c r="G10" s="23">
        <f>IF($D10="","",$D10*INDEX(Assumptions!$C$25:$G$30,MATCH($C10,Assumptions!$B$25:$B$30,0),3))</f>
        <v/>
      </c>
      <c r="H10" s="23">
        <f>IF($D10="","",$D10*INDEX(Assumptions!$C$25:$G$30,MATCH($C10,Assumptions!$B$25:$B$30,0),4))</f>
        <v/>
      </c>
      <c r="I10" s="23">
        <f>IF($D10="","",$D10*INDEX(Assumptions!$C$25:$G$30,MATCH($C10,Assumptions!$B$25:$B$30,0),5))</f>
        <v/>
      </c>
      <c r="J10" s="23">
        <f>SUM(E10:I10)</f>
        <v/>
      </c>
      <c r="K10" s="24" t="n"/>
      <c r="L10" s="25" t="inlineStr">
        <is>
          <t>Kafka MirrorMaker + DB replication between clouds</t>
        </is>
      </c>
    </row>
    <row r="11">
      <c r="B11" s="11" t="inlineStr">
        <is>
          <t>Self-hosted Kafka (3 brokers x 3 clusters)</t>
        </is>
      </c>
      <c r="C11" s="17" t="inlineStr">
        <is>
          <t>users</t>
        </is>
      </c>
      <c r="D11" s="18" t="n">
        <v>21600</v>
      </c>
      <c r="E11" s="23">
        <f>IF($D11="","",$D11*INDEX(Assumptions!$C$25:$G$30,MATCH($C11,Assumptions!$B$25:$B$30,0),1))</f>
        <v/>
      </c>
      <c r="F11" s="23">
        <f>IF($D11="","",$D11*INDEX(Assumptions!$C$25:$G$30,MATCH($C11,Assumptions!$B$25:$B$30,0),2))</f>
        <v/>
      </c>
      <c r="G11" s="23">
        <f>IF($D11="","",$D11*INDEX(Assumptions!$C$25:$G$30,MATCH($C11,Assumptions!$B$25:$B$30,0),3))</f>
        <v/>
      </c>
      <c r="H11" s="23">
        <f>IF($D11="","",$D11*INDEX(Assumptions!$C$25:$G$30,MATCH($C11,Assumptions!$B$25:$B$30,0),4))</f>
        <v/>
      </c>
      <c r="I11" s="23">
        <f>IF($D11="","",$D11*INDEX(Assumptions!$C$25:$G$30,MATCH($C11,Assumptions!$B$25:$B$30,0),5))</f>
        <v/>
      </c>
      <c r="J11" s="23">
        <f>SUM(E11:I11)</f>
        <v/>
      </c>
      <c r="K11" s="24" t="n"/>
      <c r="L11" s="25" t="inlineStr">
        <is>
          <t>A5: 'Kafka as backbone'</t>
        </is>
      </c>
    </row>
    <row r="12">
      <c r="B12" s="11" t="inlineStr">
        <is>
          <t>Inter-cloud VPN / interconnect</t>
        </is>
      </c>
      <c r="C12" s="17" t="inlineStr">
        <is>
          <t>inflation</t>
        </is>
      </c>
      <c r="D12" s="18" t="n">
        <v>6000</v>
      </c>
      <c r="E12" s="23">
        <f>IF($D12="","",$D12*INDEX(Assumptions!$C$25:$G$30,MATCH($C12,Assumptions!$B$25:$B$30,0),1))</f>
        <v/>
      </c>
      <c r="F12" s="23">
        <f>IF($D12="","",$D12*INDEX(Assumptions!$C$25:$G$30,MATCH($C12,Assumptions!$B$25:$B$30,0),2))</f>
        <v/>
      </c>
      <c r="G12" s="23">
        <f>IF($D12="","",$D12*INDEX(Assumptions!$C$25:$G$30,MATCH($C12,Assumptions!$B$25:$B$30,0),3))</f>
        <v/>
      </c>
      <c r="H12" s="23">
        <f>IF($D12="","",$D12*INDEX(Assumptions!$C$25:$G$30,MATCH($C12,Assumptions!$B$25:$B$30,0),4))</f>
        <v/>
      </c>
      <c r="I12" s="23">
        <f>IF($D12="","",$D12*INDEX(Assumptions!$C$25:$G$30,MATCH($C12,Assumptions!$B$25:$B$30,0),5))</f>
        <v/>
      </c>
      <c r="J12" s="23">
        <f>SUM(E12:I12)</f>
        <v/>
      </c>
      <c r="K12" s="24" t="n"/>
      <c r="L12" s="25" t="inlineStr">
        <is>
          <t>Active-active: the 2nd region is production, not DR</t>
        </is>
      </c>
    </row>
    <row r="13">
      <c r="B13" s="11" t="inlineStr">
        <is>
          <t>On-prem cluster in Lagos (colocation)</t>
        </is>
      </c>
      <c r="C13" s="17" t="inlineStr">
        <is>
          <t>inflation</t>
        </is>
      </c>
      <c r="D13" s="18" t="n">
        <v>30000</v>
      </c>
      <c r="E13" s="23">
        <f>IF($D13="","",$D13*INDEX(Assumptions!$C$25:$G$30,MATCH($C13,Assumptions!$B$25:$B$30,0),1))</f>
        <v/>
      </c>
      <c r="F13" s="23">
        <f>IF($D13="","",$D13*INDEX(Assumptions!$C$25:$G$30,MATCH($C13,Assumptions!$B$25:$B$30,0),2))</f>
        <v/>
      </c>
      <c r="G13" s="23">
        <f>IF($D13="","",$D13*INDEX(Assumptions!$C$25:$G$30,MATCH($C13,Assumptions!$B$25:$B$30,0),3))</f>
        <v/>
      </c>
      <c r="H13" s="23">
        <f>IF($D13="","",$D13*INDEX(Assumptions!$C$25:$G$30,MATCH($C13,Assumptions!$B$25:$B$30,0),4))</f>
        <v/>
      </c>
      <c r="I13" s="23">
        <f>IF($D13="","",$D13*INDEX(Assumptions!$C$25:$G$30,MATCH($C13,Assumptions!$B$25:$B$30,0),5))</f>
        <v/>
      </c>
      <c r="J13" s="23">
        <f>SUM(E13:I13)</f>
        <v/>
      </c>
      <c r="K13" s="24" t="n"/>
      <c r="L13" s="25" t="inlineStr">
        <is>
          <t>3 leased servers, rack, power, bandwidth</t>
        </is>
      </c>
    </row>
    <row r="14">
      <c r="B14" s="11" t="inlineStr">
        <is>
          <t>Cache: self-hosted Redis per cluster</t>
        </is>
      </c>
      <c r="C14" s="17" t="inlineStr">
        <is>
          <t>users</t>
        </is>
      </c>
      <c r="D14" s="18" t="n">
        <v>3600</v>
      </c>
      <c r="E14" s="23">
        <f>IF($D14="","",$D14*INDEX(Assumptions!$C$25:$G$30,MATCH($C14,Assumptions!$B$25:$B$30,0),1))</f>
        <v/>
      </c>
      <c r="F14" s="23">
        <f>IF($D14="","",$D14*INDEX(Assumptions!$C$25:$G$30,MATCH($C14,Assumptions!$B$25:$B$30,0),2))</f>
        <v/>
      </c>
      <c r="G14" s="23">
        <f>IF($D14="","",$D14*INDEX(Assumptions!$C$25:$G$30,MATCH($C14,Assumptions!$B$25:$B$30,0),3))</f>
        <v/>
      </c>
      <c r="H14" s="23">
        <f>IF($D14="","",$D14*INDEX(Assumptions!$C$25:$G$30,MATCH($C14,Assumptions!$B$25:$B$30,0),4))</f>
        <v/>
      </c>
      <c r="I14" s="23">
        <f>IF($D14="","",$D14*INDEX(Assumptions!$C$25:$G$30,MATCH($C14,Assumptions!$B$25:$B$30,0),5))</f>
        <v/>
      </c>
      <c r="J14" s="23">
        <f>SUM(E14:I14)</f>
        <v/>
      </c>
      <c r="K14" s="24" t="n"/>
      <c r="L14" s="25" t="inlineStr"/>
    </row>
    <row r="15">
      <c r="B15" s="26" t="inlineStr">
        <is>
          <t>Block total</t>
        </is>
      </c>
      <c r="C15" s="27" t="n"/>
      <c r="D15" s="27" t="n"/>
      <c r="E15" s="28">
        <f>SUM(E7:E14)</f>
        <v/>
      </c>
      <c r="F15" s="28">
        <f>SUM(F7:F14)</f>
        <v/>
      </c>
      <c r="G15" s="28">
        <f>SUM(G7:G14)</f>
        <v/>
      </c>
      <c r="H15" s="28">
        <f>SUM(H7:H14)</f>
        <v/>
      </c>
      <c r="I15" s="28">
        <f>SUM(I7:I14)</f>
        <v/>
      </c>
      <c r="J15" s="28">
        <f>SUM(J7:J14)</f>
        <v/>
      </c>
      <c r="K15" s="29">
        <f>IFERROR(J15/$J$51,0)</f>
        <v/>
      </c>
      <c r="L15" s="27" t="n"/>
    </row>
    <row r="16">
      <c r="C16" s="30" t="n"/>
    </row>
    <row r="17">
      <c r="B17" s="7" t="inlineStr">
        <is>
          <t>BLOCK 2. Licences, SaaS &amp; tools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</row>
    <row r="18">
      <c r="B18" s="11" t="inlineStr">
        <is>
          <t>Observability: self-hosted full stack</t>
        </is>
      </c>
      <c r="C18" s="17" t="inlineStr">
        <is>
          <t>users</t>
        </is>
      </c>
      <c r="D18" s="18" t="n">
        <v>7200</v>
      </c>
      <c r="E18" s="23">
        <f>IF($D18="","",$D18*INDEX(Assumptions!$C$25:$G$30,MATCH($C18,Assumptions!$B$25:$B$30,0),1))</f>
        <v/>
      </c>
      <c r="F18" s="23">
        <f>IF($D18="","",$D18*INDEX(Assumptions!$C$25:$G$30,MATCH($C18,Assumptions!$B$25:$B$30,0),2))</f>
        <v/>
      </c>
      <c r="G18" s="23">
        <f>IF($D18="","",$D18*INDEX(Assumptions!$C$25:$G$30,MATCH($C18,Assumptions!$B$25:$B$30,0),3))</f>
        <v/>
      </c>
      <c r="H18" s="23">
        <f>IF($D18="","",$D18*INDEX(Assumptions!$C$25:$G$30,MATCH($C18,Assumptions!$B$25:$B$30,0),4))</f>
        <v/>
      </c>
      <c r="I18" s="23">
        <f>IF($D18="","",$D18*INDEX(Assumptions!$C$25:$G$30,MATCH($C18,Assumptions!$B$25:$B$30,0),5))</f>
        <v/>
      </c>
      <c r="J18" s="23">
        <f>SUM(E18:I18)</f>
        <v/>
      </c>
      <c r="K18" s="24" t="n"/>
      <c r="L18" s="25" t="inlineStr">
        <is>
          <t>Prometheus/Loki/Jaeger storage x3 clusters</t>
        </is>
      </c>
    </row>
    <row r="19">
      <c r="B19" s="11" t="inlineStr">
        <is>
          <t>CI/CD, repo, artifacts</t>
        </is>
      </c>
      <c r="C19" s="17" t="inlineStr">
        <is>
          <t>inflation</t>
        </is>
      </c>
      <c r="D19" s="18" t="n">
        <v>6000</v>
      </c>
      <c r="E19" s="23">
        <f>IF($D19="","",$D19*INDEX(Assumptions!$C$25:$G$30,MATCH($C19,Assumptions!$B$25:$B$30,0),1))</f>
        <v/>
      </c>
      <c r="F19" s="23">
        <f>IF($D19="","",$D19*INDEX(Assumptions!$C$25:$G$30,MATCH($C19,Assumptions!$B$25:$B$30,0),2))</f>
        <v/>
      </c>
      <c r="G19" s="23">
        <f>IF($D19="","",$D19*INDEX(Assumptions!$C$25:$G$30,MATCH($C19,Assumptions!$B$25:$B$30,0),3))</f>
        <v/>
      </c>
      <c r="H19" s="23">
        <f>IF($D19="","",$D19*INDEX(Assumptions!$C$25:$G$30,MATCH($C19,Assumptions!$B$25:$B$30,0),4))</f>
        <v/>
      </c>
      <c r="I19" s="23">
        <f>IF($D19="","",$D19*INDEX(Assumptions!$C$25:$G$30,MATCH($C19,Assumptions!$B$25:$B$30,0),5))</f>
        <v/>
      </c>
      <c r="J19" s="23">
        <f>SUM(E19:I19)</f>
        <v/>
      </c>
      <c r="K19" s="24" t="n"/>
      <c r="L19" s="25" t="inlineStr">
        <is>
          <t>40+ pipelines, GitHub + ArgoCD</t>
        </is>
      </c>
    </row>
    <row r="20">
      <c r="B20" s="11" t="inlineStr">
        <is>
          <t>Security: WAF, Vault, mTLS PKI</t>
        </is>
      </c>
      <c r="C20" s="17" t="inlineStr">
        <is>
          <t>users</t>
        </is>
      </c>
      <c r="D20" s="18" t="n">
        <v>3600</v>
      </c>
      <c r="E20" s="23">
        <f>IF($D20="","",$D20*INDEX(Assumptions!$C$25:$G$30,MATCH($C20,Assumptions!$B$25:$B$30,0),1))</f>
        <v/>
      </c>
      <c r="F20" s="23">
        <f>IF($D20="","",$D20*INDEX(Assumptions!$C$25:$G$30,MATCH($C20,Assumptions!$B$25:$B$30,0),2))</f>
        <v/>
      </c>
      <c r="G20" s="23">
        <f>IF($D20="","",$D20*INDEX(Assumptions!$C$25:$G$30,MATCH($C20,Assumptions!$B$25:$B$30,0),3))</f>
        <v/>
      </c>
      <c r="H20" s="23">
        <f>IF($D20="","",$D20*INDEX(Assumptions!$C$25:$G$30,MATCH($C20,Assumptions!$B$25:$B$30,0),4))</f>
        <v/>
      </c>
      <c r="I20" s="23">
        <f>IF($D20="","",$D20*INDEX(Assumptions!$C$25:$G$30,MATCH($C20,Assumptions!$B$25:$B$30,0),5))</f>
        <v/>
      </c>
      <c r="J20" s="23">
        <f>SUM(E20:I20)</f>
        <v/>
      </c>
      <c r="K20" s="24" t="n"/>
      <c r="L20" s="25" t="inlineStr"/>
    </row>
    <row r="21" ht="15.75" customHeight="1" s="48">
      <c r="B21" s="11" t="inlineStr">
        <is>
          <t>WhatsApp Business API (BSP subscription)</t>
        </is>
      </c>
      <c r="C21" s="17" t="inlineStr">
        <is>
          <t>inflation</t>
        </is>
      </c>
      <c r="D21" s="18" t="n">
        <v>1200</v>
      </c>
      <c r="E21" s="23">
        <f>IF($D21="","",$D21*INDEX(Assumptions!$C$25:$G$30,MATCH($C21,Assumptions!$B$25:$B$30,0),1))</f>
        <v/>
      </c>
      <c r="F21" s="23">
        <f>IF($D21="","",$D21*INDEX(Assumptions!$C$25:$G$30,MATCH($C21,Assumptions!$B$25:$B$30,0),2))</f>
        <v/>
      </c>
      <c r="G21" s="23">
        <f>IF($D21="","",$D21*INDEX(Assumptions!$C$25:$G$30,MATCH($C21,Assumptions!$B$25:$B$30,0),3))</f>
        <v/>
      </c>
      <c r="H21" s="23">
        <f>IF($D21="","",$D21*INDEX(Assumptions!$C$25:$G$30,MATCH($C21,Assumptions!$B$25:$B$30,0),4))</f>
        <v/>
      </c>
      <c r="I21" s="23">
        <f>IF($D21="","",$D21*INDEX(Assumptions!$C$25:$G$30,MATCH($C21,Assumptions!$B$25:$B$30,0),5))</f>
        <v/>
      </c>
      <c r="J21" s="23">
        <f>SUM(E21:I21)</f>
        <v/>
      </c>
      <c r="K21" s="24" t="n"/>
      <c r="L21" s="25" t="inlineStr"/>
    </row>
    <row r="22" ht="15.75" customHeight="1" s="48">
      <c r="B22" s="11" t="inlineStr">
        <is>
          <t>Other SaaS</t>
        </is>
      </c>
      <c r="C22" s="17" t="inlineStr">
        <is>
          <t>inflation</t>
        </is>
      </c>
      <c r="D22" s="18" t="n">
        <v>2400</v>
      </c>
      <c r="E22" s="23">
        <f>IF($D22="","",$D22*INDEX(Assumptions!$C$25:$G$30,MATCH($C22,Assumptions!$B$25:$B$30,0),1))</f>
        <v/>
      </c>
      <c r="F22" s="23">
        <f>IF($D22="","",$D22*INDEX(Assumptions!$C$25:$G$30,MATCH($C22,Assumptions!$B$25:$B$30,0),2))</f>
        <v/>
      </c>
      <c r="G22" s="23">
        <f>IF($D22="","",$D22*INDEX(Assumptions!$C$25:$G$30,MATCH($C22,Assumptions!$B$25:$B$30,0),3))</f>
        <v/>
      </c>
      <c r="H22" s="23">
        <f>IF($D22="","",$D22*INDEX(Assumptions!$C$25:$G$30,MATCH($C22,Assumptions!$B$25:$B$30,0),4))</f>
        <v/>
      </c>
      <c r="I22" s="23">
        <f>IF($D22="","",$D22*INDEX(Assumptions!$C$25:$G$30,MATCH($C22,Assumptions!$B$25:$B$30,0),5))</f>
        <v/>
      </c>
      <c r="J22" s="23">
        <f>SUM(E22:I22)</f>
        <v/>
      </c>
      <c r="K22" s="24" t="n"/>
      <c r="L22" s="25" t="inlineStr"/>
    </row>
    <row r="23" ht="15.75" customHeight="1" s="48">
      <c r="B23" s="11" t="inlineStr">
        <is>
          <t>Oracle support (22%/yr of licences)</t>
        </is>
      </c>
      <c r="C23" s="17" t="inlineStr">
        <is>
          <t>inflation</t>
        </is>
      </c>
      <c r="D23" s="18" t="n">
        <v>41800</v>
      </c>
      <c r="E23" s="23">
        <f>IF($D23="","",$D23*INDEX(Assumptions!$C$25:$G$30,MATCH($C23,Assumptions!$B$25:$B$30,0),1))</f>
        <v/>
      </c>
      <c r="F23" s="23">
        <f>IF($D23="","",$D23*INDEX(Assumptions!$C$25:$G$30,MATCH($C23,Assumptions!$B$25:$B$30,0),2))</f>
        <v/>
      </c>
      <c r="G23" s="23">
        <f>IF($D23="","",$D23*INDEX(Assumptions!$C$25:$G$30,MATCH($C23,Assumptions!$B$25:$B$30,0),3))</f>
        <v/>
      </c>
      <c r="H23" s="23">
        <f>IF($D23="","",$D23*INDEX(Assumptions!$C$25:$G$30,MATCH($C23,Assumptions!$B$25:$B$30,0),4))</f>
        <v/>
      </c>
      <c r="I23" s="23">
        <f>IF($D23="","",$D23*INDEX(Assumptions!$C$25:$G$30,MATCH($C23,Assumptions!$B$25:$B$30,0),5))</f>
        <v/>
      </c>
      <c r="J23" s="23">
        <f>SUM(E23:I23)</f>
        <v/>
      </c>
      <c r="K23" s="24" t="n"/>
      <c r="L23" s="25" t="inlineStr">
        <is>
          <t>CFO A6 p.7: per-core licences need justification</t>
        </is>
      </c>
    </row>
    <row r="24" ht="15.75" customHeight="1" s="48">
      <c r="B24" s="26" t="inlineStr">
        <is>
          <t>Block total</t>
        </is>
      </c>
      <c r="C24" s="27" t="n"/>
      <c r="D24" s="27" t="n"/>
      <c r="E24" s="28">
        <f>SUM(E18:E23)</f>
        <v/>
      </c>
      <c r="F24" s="28">
        <f>SUM(F18:F23)</f>
        <v/>
      </c>
      <c r="G24" s="28">
        <f>SUM(G18:G23)</f>
        <v/>
      </c>
      <c r="H24" s="28">
        <f>SUM(H18:H23)</f>
        <v/>
      </c>
      <c r="I24" s="28">
        <f>SUM(I18:I23)</f>
        <v/>
      </c>
      <c r="J24" s="28">
        <f>SUM(J18:J23)</f>
        <v/>
      </c>
      <c r="K24" s="29">
        <f>IFERROR(J24/$J$51,0)</f>
        <v/>
      </c>
      <c r="L24" s="27" t="n"/>
    </row>
    <row r="25" ht="15.75" customHeight="1" s="48">
      <c r="C25" s="30" t="n"/>
    </row>
    <row r="26" ht="15.75" customHeight="1" s="48">
      <c r="B26" s="7" t="inlineStr">
        <is>
          <t>BLOCK 3. Transaction costs (Buy / Partner)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</row>
    <row r="27" ht="15.75" customHeight="1" s="48">
      <c r="B27" s="11" t="inlineStr">
        <is>
          <t>Payment provider fees (direct integrations)</t>
        </is>
      </c>
      <c r="C27" s="17" t="inlineStr">
        <is>
          <t>GMV</t>
        </is>
      </c>
      <c r="D27" s="18" t="n">
        <v>224400</v>
      </c>
      <c r="E27" s="23">
        <f>IF($D27="","",$D27*INDEX(Assumptions!$C$25:$G$30,MATCH($C27,Assumptions!$B$25:$B$30,0),1))</f>
        <v/>
      </c>
      <c r="F27" s="23">
        <f>IF($D27="","",$D27*INDEX(Assumptions!$C$25:$G$30,MATCH($C27,Assumptions!$B$25:$B$30,0),2))</f>
        <v/>
      </c>
      <c r="G27" s="23">
        <f>IF($D27="","",$D27*INDEX(Assumptions!$C$25:$G$30,MATCH($C27,Assumptions!$B$25:$B$30,0),3))</f>
        <v/>
      </c>
      <c r="H27" s="23">
        <f>IF($D27="","",$D27*INDEX(Assumptions!$C$25:$G$30,MATCH($C27,Assumptions!$B$25:$B$30,0),4))</f>
        <v/>
      </c>
      <c r="I27" s="23">
        <f>IF($D27="","",$D27*INDEX(Assumptions!$C$25:$G$30,MATCH($C27,Assumptions!$B$25:$B$30,0),5))</f>
        <v/>
      </c>
      <c r="J27" s="23">
        <f>SUM(E27:I27)</f>
        <v/>
      </c>
      <c r="K27" s="24" t="n"/>
      <c r="L27" s="25" t="inlineStr">
        <is>
          <t>1.7%: CTO claim of -0.2pp via direct M-Pesa/Flutterwave</t>
        </is>
      </c>
    </row>
    <row r="28" ht="15.75" customHeight="1" s="48">
      <c r="B28" s="11" t="inlineStr">
        <is>
          <t>SMS notifications</t>
        </is>
      </c>
      <c r="C28" s="17" t="inlineStr">
        <is>
          <t>orders</t>
        </is>
      </c>
      <c r="D28" s="18" t="n">
        <v>36000</v>
      </c>
      <c r="E28" s="23">
        <f>IF($D28="","",$D28*INDEX(Assumptions!$C$25:$G$30,MATCH($C28,Assumptions!$B$25:$B$30,0),1))</f>
        <v/>
      </c>
      <c r="F28" s="23">
        <f>IF($D28="","",$D28*INDEX(Assumptions!$C$25:$G$30,MATCH($C28,Assumptions!$B$25:$B$30,0),2))</f>
        <v/>
      </c>
      <c r="G28" s="23">
        <f>IF($D28="","",$D28*INDEX(Assumptions!$C$25:$G$30,MATCH($C28,Assumptions!$B$25:$B$30,0),3))</f>
        <v/>
      </c>
      <c r="H28" s="23">
        <f>IF($D28="","",$D28*INDEX(Assumptions!$C$25:$G$30,MATCH($C28,Assumptions!$B$25:$B$30,0),4))</f>
        <v/>
      </c>
      <c r="I28" s="23">
        <f>IF($D28="","",$D28*INDEX(Assumptions!$C$25:$G$30,MATCH($C28,Assumptions!$B$25:$B$30,0),5))</f>
        <v/>
      </c>
      <c r="J28" s="23">
        <f>SUM(E28:I28)</f>
        <v/>
      </c>
      <c r="K28" s="24" t="n"/>
      <c r="L28" s="25" t="inlineStr">
        <is>
          <t>3 SMS/order x $0.02 (Africa's Talking NG/KE)</t>
        </is>
      </c>
    </row>
    <row r="29" ht="15.75" customHeight="1" s="48">
      <c r="B29" s="11" t="inlineStr">
        <is>
          <t>WhatsApp messages (utility templates)</t>
        </is>
      </c>
      <c r="C29" s="17" t="inlineStr">
        <is>
          <t>orders</t>
        </is>
      </c>
      <c r="D29" s="18" t="n">
        <v>6000</v>
      </c>
      <c r="E29" s="23">
        <f>IF($D29="","",$D29*INDEX(Assumptions!$C$25:$G$30,MATCH($C29,Assumptions!$B$25:$B$30,0),1))</f>
        <v/>
      </c>
      <c r="F29" s="23">
        <f>IF($D29="","",$D29*INDEX(Assumptions!$C$25:$G$30,MATCH($C29,Assumptions!$B$25:$B$30,0),2))</f>
        <v/>
      </c>
      <c r="G29" s="23">
        <f>IF($D29="","",$D29*INDEX(Assumptions!$C$25:$G$30,MATCH($C29,Assumptions!$B$25:$B$30,0),3))</f>
        <v/>
      </c>
      <c r="H29" s="23">
        <f>IF($D29="","",$D29*INDEX(Assumptions!$C$25:$G$30,MATCH($C29,Assumptions!$B$25:$B$30,0),4))</f>
        <v/>
      </c>
      <c r="I29" s="23">
        <f>IF($D29="","",$D29*INDEX(Assumptions!$C$25:$G$30,MATCH($C29,Assumptions!$B$25:$B$30,0),5))</f>
        <v/>
      </c>
      <c r="J29" s="23">
        <f>SUM(E29:I29)</f>
        <v/>
      </c>
      <c r="K29" s="24" t="n"/>
      <c r="L29" s="25" t="inlineStr">
        <is>
          <t>~$0.01/order seller+buyer utility msgs</t>
        </is>
      </c>
    </row>
    <row r="30" ht="15.75" customHeight="1" s="48">
      <c r="B30" s="11" t="inlineStr">
        <is>
          <t>Logistics: own engine (fees -30% from Y2)</t>
        </is>
      </c>
      <c r="C30" s="17" t="inlineStr">
        <is>
          <t>orders</t>
        </is>
      </c>
      <c r="D30" s="18" t="n">
        <v>63000</v>
      </c>
      <c r="E30" s="23" t="n">
        <v>90000</v>
      </c>
      <c r="F30" s="23">
        <f>IF($D30="","",$D30*INDEX(Assumptions!$C$25:$G$30,MATCH($C30,Assumptions!$B$25:$B$30,0),2))</f>
        <v/>
      </c>
      <c r="G30" s="23">
        <f>IF($D30="","",$D30*INDEX(Assumptions!$C$25:$G$30,MATCH($C30,Assumptions!$B$25:$B$30,0),3))</f>
        <v/>
      </c>
      <c r="H30" s="23">
        <f>IF($D30="","",$D30*INDEX(Assumptions!$C$25:$G$30,MATCH($C30,Assumptions!$B$25:$B$30,0),4))</f>
        <v/>
      </c>
      <c r="I30" s="23">
        <f>IF($D30="","",$D30*INDEX(Assumptions!$C$25:$G$30,MATCH($C30,Assumptions!$B$25:$B$30,0),5))</f>
        <v/>
      </c>
      <c r="J30" s="23">
        <f>SUM(E30:I30)</f>
        <v/>
      </c>
      <c r="K30" s="24" t="n"/>
      <c r="L30" s="25" t="inlineStr">
        <is>
          <t>Y1 = partner fees $90k (engine live only ~Apr-2027)</t>
        </is>
      </c>
    </row>
    <row r="31" ht="15.75" customHeight="1" s="48">
      <c r="B31" s="11" t="inlineStr">
        <is>
          <t>USSD sessions + short codes (NG, KE)</t>
        </is>
      </c>
      <c r="C31" s="17" t="inlineStr">
        <is>
          <t>orders</t>
        </is>
      </c>
      <c r="D31" s="18" t="n">
        <v>12000</v>
      </c>
      <c r="E31" s="23">
        <f>IF($D31="","",$D31*INDEX(Assumptions!$C$25:$G$30,MATCH($C31,Assumptions!$B$25:$B$30,0),1))</f>
        <v/>
      </c>
      <c r="F31" s="23">
        <f>IF($D31="","",$D31*INDEX(Assumptions!$C$25:$G$30,MATCH($C31,Assumptions!$B$25:$B$30,0),2))</f>
        <v/>
      </c>
      <c r="G31" s="23">
        <f>IF($D31="","",$D31*INDEX(Assumptions!$C$25:$G$30,MATCH($C31,Assumptions!$B$25:$B$30,0),3))</f>
        <v/>
      </c>
      <c r="H31" s="23">
        <f>IF($D31="","",$D31*INDEX(Assumptions!$C$25:$G$30,MATCH($C31,Assumptions!$B$25:$B$30,0),4))</f>
        <v/>
      </c>
      <c r="I31" s="23">
        <f>IF($D31="","",$D31*INDEX(Assumptions!$C$25:$G$30,MATCH($C31,Assumptions!$B$25:$B$30,0),5))</f>
        <v/>
      </c>
      <c r="J31" s="23">
        <f>SUM(E31:I31)</f>
        <v/>
      </c>
      <c r="K31" s="24" t="n"/>
      <c r="L31" s="25" t="inlineStr">
        <is>
          <t>Africa's Talking USSD aggregator</t>
        </is>
      </c>
    </row>
    <row r="32" ht="15.75" customHeight="1" s="48">
      <c r="B32" s="26" t="inlineStr">
        <is>
          <t>Block total</t>
        </is>
      </c>
      <c r="C32" s="27" t="n"/>
      <c r="D32" s="27" t="n"/>
      <c r="E32" s="28">
        <f>SUM(E27:E31)</f>
        <v/>
      </c>
      <c r="F32" s="28">
        <f>SUM(F27:F31)</f>
        <v/>
      </c>
      <c r="G32" s="28">
        <f>SUM(G27:G31)</f>
        <v/>
      </c>
      <c r="H32" s="28">
        <f>SUM(H27:H31)</f>
        <v/>
      </c>
      <c r="I32" s="28">
        <f>SUM(I27:I31)</f>
        <v/>
      </c>
      <c r="J32" s="28">
        <f>SUM(J27:J31)</f>
        <v/>
      </c>
      <c r="K32" s="29">
        <f>IFERROR(J32/$J$51,0)</f>
        <v/>
      </c>
      <c r="L32" s="27" t="n"/>
    </row>
    <row r="33" ht="15.75" customHeight="1" s="48">
      <c r="C33" s="30" t="n"/>
    </row>
    <row r="34" ht="15.75" customHeight="1" s="48">
      <c r="B34" s="7" t="inlineStr">
        <is>
          <t>BLOCK 4. Team (payroll)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</row>
    <row r="35" ht="15.75" customHeight="1" s="48">
      <c r="B35" s="11" t="inlineStr">
        <is>
          <t>Development (FTE x annual rate)</t>
        </is>
      </c>
      <c r="C35" s="17" t="inlineStr">
        <is>
          <t>payroll</t>
        </is>
      </c>
      <c r="D35" s="18" t="n">
        <v>600000</v>
      </c>
      <c r="E35" s="23">
        <f>IF($D35="","",$D35*INDEX(Assumptions!$C$25:$G$30,MATCH($C35,Assumptions!$B$25:$B$30,0),1))</f>
        <v/>
      </c>
      <c r="F35" s="23">
        <f>IF($D35="","",$D35*INDEX(Assumptions!$C$25:$G$30,MATCH($C35,Assumptions!$B$25:$B$30,0),2))</f>
        <v/>
      </c>
      <c r="G35" s="23">
        <f>IF($D35="","",$D35*INDEX(Assumptions!$C$25:$G$30,MATCH($C35,Assumptions!$B$25:$B$30,0),3))</f>
        <v/>
      </c>
      <c r="H35" s="23">
        <f>IF($D35="","",$D35*INDEX(Assumptions!$C$25:$G$30,MATCH($C35,Assumptions!$B$25:$B$30,0),4))</f>
        <v/>
      </c>
      <c r="I35" s="23">
        <f>IF($D35="","",$D35*INDEX(Assumptions!$C$25:$G$30,MATCH($C35,Assumptions!$B$25:$B$30,0),5))</f>
        <v/>
      </c>
      <c r="J35" s="23">
        <f>SUM(E35:I35)</f>
        <v/>
      </c>
      <c r="K35" s="24" t="n"/>
      <c r="L35" s="25" t="inlineStr">
        <is>
          <t>10 Go devs incl. 4-person logistics engine team (CTO estimate: 6 mo x 4 eng)</t>
        </is>
      </c>
    </row>
    <row r="36" ht="15.75" customHeight="1" s="48">
      <c r="B36" s="11" t="inlineStr">
        <is>
          <t>Platform / SRE + Oracle DBA</t>
        </is>
      </c>
      <c r="C36" s="17" t="inlineStr">
        <is>
          <t>payroll</t>
        </is>
      </c>
      <c r="D36" s="18" t="n">
        <v>306000</v>
      </c>
      <c r="E36" s="23">
        <f>IF($D36="","",$D36*INDEX(Assumptions!$C$25:$G$30,MATCH($C36,Assumptions!$B$25:$B$30,0),1))</f>
        <v/>
      </c>
      <c r="F36" s="23">
        <f>IF($D36="","",$D36*INDEX(Assumptions!$C$25:$G$30,MATCH($C36,Assumptions!$B$25:$B$30,0),2))</f>
        <v/>
      </c>
      <c r="G36" s="23">
        <f>IF($D36="","",$D36*INDEX(Assumptions!$C$25:$G$30,MATCH($C36,Assumptions!$B$25:$B$30,0),3))</f>
        <v/>
      </c>
      <c r="H36" s="23">
        <f>IF($D36="","",$D36*INDEX(Assumptions!$C$25:$G$30,MATCH($C36,Assumptions!$B$25:$B$30,0),4))</f>
        <v/>
      </c>
      <c r="I36" s="23">
        <f>IF($D36="","",$D36*INDEX(Assumptions!$C$25:$G$30,MATCH($C36,Assumptions!$B$25:$B$30,0),5))</f>
        <v/>
      </c>
      <c r="J36" s="23">
        <f>SUM(E36:I36)</f>
        <v/>
      </c>
      <c r="K36" s="24" t="n"/>
      <c r="L36" s="25" t="inlineStr">
        <is>
          <t>3 SRE x $72k (K8s x3, Istio, Kafka) + DBA $90k</t>
        </is>
      </c>
    </row>
    <row r="37" ht="15.75" customHeight="1" s="48">
      <c r="B37" s="11" t="inlineStr">
        <is>
          <t>On-call 24/7</t>
        </is>
      </c>
      <c r="C37" s="17" t="inlineStr">
        <is>
          <t>payroll</t>
        </is>
      </c>
      <c r="D37" s="18" t="n">
        <v>36000</v>
      </c>
      <c r="E37" s="23">
        <f>IF($D37="","",$D37*INDEX(Assumptions!$C$25:$G$30,MATCH($C37,Assumptions!$B$25:$B$30,0),1))</f>
        <v/>
      </c>
      <c r="F37" s="23">
        <f>IF($D37="","",$D37*INDEX(Assumptions!$C$25:$G$30,MATCH($C37,Assumptions!$B$25:$B$30,0),2))</f>
        <v/>
      </c>
      <c r="G37" s="23">
        <f>IF($D37="","",$D37*INDEX(Assumptions!$C$25:$G$30,MATCH($C37,Assumptions!$B$25:$B$30,0),3))</f>
        <v/>
      </c>
      <c r="H37" s="23">
        <f>IF($D37="","",$D37*INDEX(Assumptions!$C$25:$G$30,MATCH($C37,Assumptions!$B$25:$B$30,0),4))</f>
        <v/>
      </c>
      <c r="I37" s="23">
        <f>IF($D37="","",$D37*INDEX(Assumptions!$C$25:$G$30,MATCH($C37,Assumptions!$B$25:$B$30,0),5))</f>
        <v/>
      </c>
      <c r="J37" s="23">
        <f>SUM(E37:I37)</f>
        <v/>
      </c>
      <c r="K37" s="24" t="n"/>
      <c r="L37" s="25" t="inlineStr"/>
    </row>
    <row r="38" ht="15.75" customHeight="1" s="48">
      <c r="B38" s="11" t="inlineStr">
        <is>
          <t>Architecture &amp; management</t>
        </is>
      </c>
      <c r="C38" s="17" t="inlineStr">
        <is>
          <t>payroll</t>
        </is>
      </c>
      <c r="D38" s="18" t="n">
        <v>200000</v>
      </c>
      <c r="E38" s="23">
        <f>IF($D38="","",$D38*INDEX(Assumptions!$C$25:$G$30,MATCH($C38,Assumptions!$B$25:$B$30,0),1))</f>
        <v/>
      </c>
      <c r="F38" s="23">
        <f>IF($D38="","",$D38*INDEX(Assumptions!$C$25:$G$30,MATCH($C38,Assumptions!$B$25:$B$30,0),2))</f>
        <v/>
      </c>
      <c r="G38" s="23">
        <f>IF($D38="","",$D38*INDEX(Assumptions!$C$25:$G$30,MATCH($C38,Assumptions!$B$25:$B$30,0),3))</f>
        <v/>
      </c>
      <c r="H38" s="23">
        <f>IF($D38="","",$D38*INDEX(Assumptions!$C$25:$G$30,MATCH($C38,Assumptions!$B$25:$B$30,0),4))</f>
        <v/>
      </c>
      <c r="I38" s="23">
        <f>IF($D38="","",$D38*INDEX(Assumptions!$C$25:$G$30,MATCH($C38,Assumptions!$B$25:$B$30,0),5))</f>
        <v/>
      </c>
      <c r="J38" s="23">
        <f>SUM(E38:I38)</f>
        <v/>
      </c>
      <c r="K38" s="24" t="n"/>
      <c r="L38" s="25" t="inlineStr">
        <is>
          <t>Same as A</t>
        </is>
      </c>
    </row>
    <row r="39" ht="15.75" customHeight="1" s="48">
      <c r="B39" s="11" t="inlineStr">
        <is>
          <t>Team growth from Y2 (+6 engineers)</t>
        </is>
      </c>
      <c r="C39" s="17" t="inlineStr">
        <is>
          <t>payroll</t>
        </is>
      </c>
      <c r="D39" s="18" t="n">
        <v>360000</v>
      </c>
      <c r="E39" s="23" t="n">
        <v>0</v>
      </c>
      <c r="F39" s="23">
        <f>IF($D39="","",$D39*INDEX(Assumptions!$C$25:$G$30,MATCH($C39,Assumptions!$B$25:$B$30,0),2))</f>
        <v/>
      </c>
      <c r="G39" s="23">
        <f>IF($D39="","",$D39*INDEX(Assumptions!$C$25:$G$30,MATCH($C39,Assumptions!$B$25:$B$30,0),3))</f>
        <v/>
      </c>
      <c r="H39" s="23">
        <f>IF($D39="","",$D39*INDEX(Assumptions!$C$25:$G$30,MATCH($C39,Assumptions!$B$25:$B$30,0),4))</f>
        <v/>
      </c>
      <c r="I39" s="23">
        <f>IF($D39="","",$D39*INDEX(Assumptions!$C$25:$G$30,MATCH($C39,Assumptions!$B$25:$B$30,0),5))</f>
        <v/>
      </c>
      <c r="J39" s="23">
        <f>SUM(E39:I39)</f>
        <v/>
      </c>
      <c r="K39" s="24" t="n"/>
      <c r="L39" s="25" t="inlineStr">
        <is>
          <t>Y1 = 0 (overridden)</t>
        </is>
      </c>
    </row>
    <row r="40" ht="15.75" customHeight="1" s="48">
      <c r="B40" s="26" t="inlineStr">
        <is>
          <t>Block total</t>
        </is>
      </c>
      <c r="C40" s="27" t="n"/>
      <c r="D40" s="27" t="n"/>
      <c r="E40" s="28">
        <f>SUM(E35:E39)</f>
        <v/>
      </c>
      <c r="F40" s="28">
        <f>SUM(F35:F39)</f>
        <v/>
      </c>
      <c r="G40" s="28">
        <f>SUM(G35:G39)</f>
        <v/>
      </c>
      <c r="H40" s="28">
        <f>SUM(H35:H39)</f>
        <v/>
      </c>
      <c r="I40" s="28">
        <f>SUM(I35:I39)</f>
        <v/>
      </c>
      <c r="J40" s="28">
        <f>SUM(J35:J39)</f>
        <v/>
      </c>
      <c r="K40" s="29">
        <f>IFERROR(J40/$J$51,0)</f>
        <v/>
      </c>
      <c r="L40" s="27" t="n"/>
    </row>
    <row r="41" ht="15.75" customHeight="1" s="48">
      <c r="C41" s="30" t="n"/>
    </row>
    <row r="42" ht="15.75" customHeight="1" s="48">
      <c r="B42" s="7" t="inlineStr">
        <is>
          <t>BLOCK 5. One-off &amp; compliance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</row>
    <row r="43" ht="15.75" customHeight="1" s="48">
      <c r="B43" s="11" t="inlineStr">
        <is>
          <t>Legal &amp; compliance (NDPR/NDPA, POPIA, KE DPA)</t>
        </is>
      </c>
      <c r="C43" s="17" t="inlineStr">
        <is>
          <t>fixed</t>
        </is>
      </c>
      <c r="D43" s="18" t="n">
        <v>30000</v>
      </c>
      <c r="E43" s="23">
        <f>IF($D43="","",$D43*INDEX(Assumptions!$C$25:$G$30,MATCH($C43,Assumptions!$B$25:$B$30,0),1))</f>
        <v/>
      </c>
      <c r="F43" s="23" t="n">
        <v>15000</v>
      </c>
      <c r="G43" s="23" t="n">
        <v>15000</v>
      </c>
      <c r="H43" s="23" t="n">
        <v>15000</v>
      </c>
      <c r="I43" s="23" t="n">
        <v>15000</v>
      </c>
      <c r="J43" s="23">
        <f>SUM(E43:I43)</f>
        <v/>
      </c>
      <c r="K43" s="24" t="n"/>
      <c r="L43" s="25" t="inlineStr">
        <is>
          <t>Y1: DPIA, NDPC/ODPC registration, outsourced DPO; Y2+: annual NDPC audit filing</t>
        </is>
      </c>
    </row>
    <row r="44" ht="15.75" customHeight="1" s="48">
      <c r="B44" s="11" t="inlineStr">
        <is>
          <t>Penetration test &amp; security audit</t>
        </is>
      </c>
      <c r="C44" s="17" t="inlineStr">
        <is>
          <t>inflation</t>
        </is>
      </c>
      <c r="D44" s="18" t="n">
        <v>12000</v>
      </c>
      <c r="E44" s="23">
        <f>IF($D44="","",$D44*INDEX(Assumptions!$C$25:$G$30,MATCH($C44,Assumptions!$B$25:$B$30,0),1))</f>
        <v/>
      </c>
      <c r="F44" s="23">
        <f>IF($D44="","",$D44*INDEX(Assumptions!$C$25:$G$30,MATCH($C44,Assumptions!$B$25:$B$30,0),2))</f>
        <v/>
      </c>
      <c r="G44" s="23">
        <f>IF($D44="","",$D44*INDEX(Assumptions!$C$25:$G$30,MATCH($C44,Assumptions!$B$25:$B$30,0),3))</f>
        <v/>
      </c>
      <c r="H44" s="23">
        <f>IF($D44="","",$D44*INDEX(Assumptions!$C$25:$G$30,MATCH($C44,Assumptions!$B$25:$B$30,0),4))</f>
        <v/>
      </c>
      <c r="I44" s="23">
        <f>IF($D44="","",$D44*INDEX(Assumptions!$C$25:$G$30,MATCH($C44,Assumptions!$B$25:$B$30,0),5))</f>
        <v/>
      </c>
      <c r="J44" s="23">
        <f>SUM(E44:I44)</f>
        <v/>
      </c>
      <c r="K44" s="24" t="n"/>
      <c r="L44" s="25" t="inlineStr">
        <is>
          <t>Annual, before peak season</t>
        </is>
      </c>
    </row>
    <row r="45" ht="15.75" customHeight="1" s="48">
      <c r="B45" s="11" t="inlineStr">
        <is>
          <t>Launch integrations &amp; certification</t>
        </is>
      </c>
      <c r="C45" s="17" t="inlineStr">
        <is>
          <t>fixed</t>
        </is>
      </c>
      <c r="D45" s="18" t="n">
        <v>10000</v>
      </c>
      <c r="E45" s="23">
        <f>IF($D45="","",$D45*INDEX(Assumptions!$C$25:$G$30,MATCH($C45,Assumptions!$B$25:$B$30,0),1))</f>
        <v/>
      </c>
      <c r="F45" s="23" t="n">
        <v>0</v>
      </c>
      <c r="G45" s="23" t="n">
        <v>0</v>
      </c>
      <c r="H45" s="23" t="n">
        <v>0</v>
      </c>
      <c r="I45" s="23" t="n">
        <v>0</v>
      </c>
      <c r="J45" s="23">
        <f>SUM(E45:I45)</f>
        <v/>
      </c>
      <c r="K45" s="24" t="n"/>
      <c r="L45" s="25" t="inlineStr">
        <is>
          <t>One-off</t>
        </is>
      </c>
    </row>
    <row r="46" ht="15.75" customHeight="1" s="48">
      <c r="B46" s="11" t="inlineStr">
        <is>
          <t>Training &amp; hiring (agency fees)</t>
        </is>
      </c>
      <c r="C46" s="17" t="inlineStr">
        <is>
          <t>payroll</t>
        </is>
      </c>
      <c r="D46" s="18" t="n">
        <v>20000</v>
      </c>
      <c r="E46" s="23" t="n">
        <v>75600</v>
      </c>
      <c r="F46" s="23">
        <f>IF($D46="","",$D46*INDEX(Assumptions!$C$25:$G$30,MATCH($C46,Assumptions!$B$25:$B$30,0),2))</f>
        <v/>
      </c>
      <c r="G46" s="23">
        <f>IF($D46="","",$D46*INDEX(Assumptions!$C$25:$G$30,MATCH($C46,Assumptions!$B$25:$B$30,0),3))</f>
        <v/>
      </c>
      <c r="H46" s="23">
        <f>IF($D46="","",$D46*INDEX(Assumptions!$C$25:$G$30,MATCH($C46,Assumptions!$B$25:$B$30,0),4))</f>
        <v/>
      </c>
      <c r="I46" s="23">
        <f>IF($D46="","",$D46*INDEX(Assumptions!$C$25:$G$30,MATCH($C46,Assumptions!$B$25:$B$30,0),5))</f>
        <v/>
      </c>
      <c r="J46" s="23">
        <f>SUM(E46:I46)</f>
        <v/>
      </c>
      <c r="K46" s="24" t="n"/>
      <c r="L46" s="25" t="inlineStr">
        <is>
          <t>Y1: 7 hires x $60k x 18% agency fee = $75.6k</t>
        </is>
      </c>
    </row>
    <row r="47" ht="15.75" customHeight="1" s="48">
      <c r="B47" s="11" t="inlineStr">
        <is>
          <t>Oracle EE perpetual licences</t>
        </is>
      </c>
      <c r="C47" s="17" t="inlineStr">
        <is>
          <t>fixed</t>
        </is>
      </c>
      <c r="D47" s="18" t="n">
        <v>190000</v>
      </c>
      <c r="E47" s="23">
        <f>IF($D47="","",$D47*INDEX(Assumptions!$C$25:$G$30,MATCH($C47,Assumptions!$B$25:$B$30,0),1))</f>
        <v/>
      </c>
      <c r="F47" s="23" t="n">
        <v>0</v>
      </c>
      <c r="G47" s="23" t="n">
        <v>0</v>
      </c>
      <c r="H47" s="23" t="n">
        <v>0</v>
      </c>
      <c r="I47" s="23" t="n">
        <v>0</v>
      </c>
      <c r="J47" s="23">
        <f>SUM(E47:I47)</f>
        <v/>
      </c>
      <c r="K47" s="24" t="n"/>
      <c r="L47" s="25" t="inlineStr">
        <is>
          <t>4 processor licences x $47.5k list; one-off</t>
        </is>
      </c>
    </row>
    <row r="48" ht="15.75" customHeight="1" s="48">
      <c r="B48" s="26" t="inlineStr">
        <is>
          <t>Block total</t>
        </is>
      </c>
      <c r="C48" s="27" t="n"/>
      <c r="D48" s="27" t="n"/>
      <c r="E48" s="28">
        <f>SUM(E43:E47)</f>
        <v/>
      </c>
      <c r="F48" s="28">
        <f>SUM(F43:F47)</f>
        <v/>
      </c>
      <c r="G48" s="28">
        <f>SUM(G43:G47)</f>
        <v/>
      </c>
      <c r="H48" s="28">
        <f>SUM(H43:H47)</f>
        <v/>
      </c>
      <c r="I48" s="28">
        <f>SUM(I43:I47)</f>
        <v/>
      </c>
      <c r="J48" s="28">
        <f>SUM(J43:J47)</f>
        <v/>
      </c>
      <c r="K48" s="29">
        <f>IFERROR(J48/$J$51,0)</f>
        <v/>
      </c>
      <c r="L48" s="27" t="n"/>
    </row>
    <row r="49" ht="15.75" customHeight="1" s="48">
      <c r="C49" s="30" t="n"/>
    </row>
    <row r="50" ht="15.75" customHeight="1" s="48">
      <c r="B50" s="15" t="inlineStr">
        <is>
          <t>Contingency</t>
        </is>
      </c>
      <c r="C50" s="30" t="n"/>
      <c r="E50" s="31">
        <f>(E15+E24+E32+E40+E48)*Assumptions!$C$17</f>
        <v/>
      </c>
      <c r="F50" s="31">
        <f>(F15+F24+F32+F40+F48)*Assumptions!$C$17</f>
        <v/>
      </c>
      <c r="G50" s="31">
        <f>(G15+G24+G32+G40+G48)*Assumptions!$C$17</f>
        <v/>
      </c>
      <c r="H50" s="31">
        <f>(H15+H24+H32+H40+H48)*Assumptions!$C$17</f>
        <v/>
      </c>
      <c r="I50" s="31">
        <f>(I15+I24+I32+I40+I48)*Assumptions!$C$17</f>
        <v/>
      </c>
      <c r="J50" s="23">
        <f>SUM(E50:I50)</f>
        <v/>
      </c>
      <c r="L50" s="6" t="inlineStr">
        <is>
          <t>Blocks 1-5 x contingency rate</t>
        </is>
      </c>
    </row>
    <row r="51" ht="15.75" customHeight="1" s="48">
      <c r="B51" s="26" t="inlineStr">
        <is>
          <t>TOTAL direct costs (TCO excl. downtime)</t>
        </is>
      </c>
      <c r="C51" s="30" t="n"/>
      <c r="E51" s="28">
        <f>E15+E24+E32+E40+E48+E50</f>
        <v/>
      </c>
      <c r="F51" s="28">
        <f>F15+F24+F32+F40+F48+F50</f>
        <v/>
      </c>
      <c r="G51" s="28">
        <f>G15+G24+G32+G40+G48+G50</f>
        <v/>
      </c>
      <c r="H51" s="28">
        <f>H15+H24+H32+H40+H48+H50</f>
        <v/>
      </c>
      <c r="I51" s="28">
        <f>I15+I24+I32+I40+I48+I50</f>
        <v/>
      </c>
      <c r="J51" s="28">
        <f>SUM(E51:I51)</f>
        <v/>
      </c>
    </row>
    <row r="52" ht="15.75" customHeight="1" s="48">
      <c r="B52" s="7" t="inlineStr">
        <is>
          <t>BLOCK 6. Cost of unavailability (risk)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</row>
    <row r="53" ht="15.75" customHeight="1" s="48">
      <c r="B53" s="11" t="inlineStr">
        <is>
          <t>Expected downtime loss at target SLO</t>
        </is>
      </c>
      <c r="C53" t="inlineStr">
        <is>
          <t>SLO -&gt;</t>
        </is>
      </c>
      <c r="D53" s="58" t="n">
        <v>0.9999</v>
      </c>
      <c r="E53" s="31">
        <f>(1-$D$53)*525600*Assumptions!$C$19*Assumptions!$C$21</f>
        <v/>
      </c>
      <c r="F53" s="31">
        <f>(1-$D$53)*525600*Assumptions!$C$19*Assumptions!$C$21</f>
        <v/>
      </c>
      <c r="G53" s="31">
        <f>(1-$D$53)*525600*Assumptions!$C$19*Assumptions!$C$21</f>
        <v/>
      </c>
      <c r="H53" s="31">
        <f>(1-$D$53)*525600*Assumptions!$C$19*Assumptions!$C$21</f>
        <v/>
      </c>
      <c r="I53" s="31">
        <f>(1-$D$53)*525600*Assumptions!$C$19*Assumptions!$C$21</f>
        <v/>
      </c>
      <c r="J53" s="23">
        <f>SUM(E53:I53)</f>
        <v/>
      </c>
      <c r="L53" s="13" t="inlineStr">
        <is>
          <t>(1 - SLO in D53) x 525,600 min x loss/min x switch</t>
        </is>
      </c>
    </row>
    <row r="54" ht="15.75" customHeight="1" s="48">
      <c r="B54" s="26" t="inlineStr">
        <is>
          <t>TOTAL TCO incl. downtime</t>
        </is>
      </c>
      <c r="E54" s="28">
        <f>E51+E53</f>
        <v/>
      </c>
      <c r="F54" s="28">
        <f>F51+F53</f>
        <v/>
      </c>
      <c r="G54" s="28">
        <f>G51+G53</f>
        <v/>
      </c>
      <c r="H54" s="28">
        <f>H51+H53</f>
        <v/>
      </c>
      <c r="I54" s="28">
        <f>I51+I53</f>
        <v/>
      </c>
      <c r="J54" s="28">
        <f>SUM(E54:I54)</f>
        <v/>
      </c>
    </row>
    <row r="55" ht="15.75" customHeight="1" s="48">
      <c r="B55" s="11" t="inlineStr">
        <is>
          <t>Discount factor</t>
        </is>
      </c>
      <c r="E55" s="32">
        <f>1/(1+Assumptions!$C$16)^0</f>
        <v/>
      </c>
      <c r="F55" s="32">
        <f>1/(1+Assumptions!$C$16)^1</f>
        <v/>
      </c>
      <c r="G55" s="32">
        <f>1/(1+Assumptions!$C$16)^2</f>
        <v/>
      </c>
      <c r="H55" s="32">
        <f>1/(1+Assumptions!$C$16)^3</f>
        <v/>
      </c>
      <c r="I55" s="32">
        <f>1/(1+Assumptions!$C$16)^4</f>
        <v/>
      </c>
    </row>
    <row r="56" ht="15.75" customHeight="1" s="48">
      <c r="B56" s="26" t="inlineStr">
        <is>
          <t>Discounted TCO (NPV of costs)</t>
        </is>
      </c>
      <c r="E56" s="28">
        <f>E54*E55</f>
        <v/>
      </c>
      <c r="F56" s="28">
        <f>F54*F55</f>
        <v/>
      </c>
      <c r="G56" s="28">
        <f>G54*G55</f>
        <v/>
      </c>
      <c r="H56" s="28">
        <f>H54*H55</f>
        <v/>
      </c>
      <c r="I56" s="28">
        <f>I54*I55</f>
        <v/>
      </c>
      <c r="J56" s="28">
        <f>SUM(E56:I56)</f>
        <v/>
      </c>
    </row>
    <row r="57" ht="15.75" customHeight="1" s="48"/>
    <row r="58" ht="15.75" customHeight="1" s="48">
      <c r="B58" s="7" t="inlineStr">
        <is>
          <t>Key metrics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</row>
    <row r="59" ht="15.75" customHeight="1" s="48">
      <c r="B59" s="15" t="inlineStr">
        <is>
          <t>5-yr TCO, direct costs</t>
        </is>
      </c>
      <c r="E59" s="59">
        <f>J51</f>
        <v/>
      </c>
      <c r="F59" s="60" t="n"/>
      <c r="L59" s="13" t="inlineStr">
        <is>
          <t>Main comparison figure for ADR-001</t>
        </is>
      </c>
    </row>
    <row r="60" ht="15.75" customHeight="1" s="48">
      <c r="B60" s="15" t="inlineStr">
        <is>
          <t>5-yr TCO incl. downtime</t>
        </is>
      </c>
      <c r="E60" s="59">
        <f>J54</f>
        <v/>
      </c>
      <c r="F60" s="60" t="n"/>
      <c r="L60" s="13" t="inlineStr">
        <is>
          <t>Price of unavailability</t>
        </is>
      </c>
    </row>
    <row r="61" ht="15.75" customHeight="1" s="48">
      <c r="B61" s="15" t="inlineStr">
        <is>
          <t>NPV of costs, 5 yrs</t>
        </is>
      </c>
      <c r="E61" s="59">
        <f>J56</f>
        <v/>
      </c>
      <c r="F61" s="60" t="n"/>
      <c r="L61" s="13" t="inlineStr">
        <is>
          <t>Discounted to today</t>
        </is>
      </c>
    </row>
    <row r="62" ht="15.75" customHeight="1" s="48">
      <c r="B62" s="15" t="inlineStr">
        <is>
          <t>Average cost per year</t>
        </is>
      </c>
      <c r="E62" s="59">
        <f>J51/5</f>
        <v/>
      </c>
      <c r="F62" s="60" t="n"/>
      <c r="L62" s="13" t="inlineStr">
        <is>
          <t>Planning reference</t>
        </is>
      </c>
    </row>
    <row r="63" ht="15.75" customHeight="1" s="48">
      <c r="B63" s="15" t="inlineStr">
        <is>
          <t>Cloud (Block 1), $/mo in Year 1</t>
        </is>
      </c>
      <c r="E63" s="59">
        <f>E15/12</f>
        <v/>
      </c>
      <c r="F63" s="60" t="n"/>
      <c r="L63" s="13" t="inlineStr">
        <is>
          <t>Compared with CFO cap</t>
        </is>
      </c>
    </row>
    <row r="64" ht="15.75" customHeight="1" s="48">
      <c r="B64" s="15" t="inlineStr">
        <is>
          <t>CFO cap check, Year 1 (Block 1)</t>
        </is>
      </c>
      <c r="E64" s="61">
        <f>IF(E15/12&lt;=Assumptions!$C$18,"Within CFO cap","OVER CFO cap")</f>
        <v/>
      </c>
      <c r="F64" s="60" t="n"/>
      <c r="L64" s="13" t="inlineStr">
        <is>
          <t>Block 1+2 check (CFO counts SaaS too) - see Comparison sheet</t>
        </is>
      </c>
    </row>
    <row r="65" ht="15.75" customHeight="1" s="48">
      <c r="B65" s="15" t="inlineStr">
        <is>
          <t>TCO per order, 5 yrs</t>
        </is>
      </c>
      <c r="E65" s="62">
        <f>IFERROR(J51/SUM(Assumptions!$C$8:$G$8),0)</f>
        <v/>
      </c>
      <c r="F65" s="60" t="n"/>
      <c r="L65" s="13" t="inlineStr">
        <is>
          <t>IT + transaction cost inside one order</t>
        </is>
      </c>
    </row>
    <row r="66" ht="15.75" customHeight="1" s="48">
      <c r="B66" s="15" t="inlineStr">
        <is>
          <t>TCO per active user (Year 5)</t>
        </is>
      </c>
      <c r="E66" s="62">
        <f>IFERROR(I51/Assumptions!$G$7,0)</f>
        <v/>
      </c>
      <c r="F66" s="60" t="n"/>
      <c r="L66" s="13" t="inlineStr">
        <is>
          <t>Scalability check</t>
        </is>
      </c>
    </row>
    <row r="67" ht="15.75" customHeight="1" s="48">
      <c r="B67" s="15" t="inlineStr">
        <is>
          <t>IT cost as share of GMV, 5 yrs</t>
        </is>
      </c>
      <c r="E67" s="63">
        <f>IFERROR(J51/SUM(Assumptions!$C$10:$G$10),0)</f>
        <v/>
      </c>
      <c r="F67" s="60" t="n"/>
      <c r="L67" s="13" t="inlineStr">
        <is>
          <t>Healthy marketplace: low single-digit %</t>
        </is>
      </c>
    </row>
    <row r="68" ht="15.75" customHeight="1" s="48">
      <c r="B68" s="15" t="inlineStr">
        <is>
          <t>Cloud share of TCO</t>
        </is>
      </c>
      <c r="E68" s="64">
        <f>IFERROR(J15/J51,0)</f>
        <v/>
      </c>
      <c r="F68" s="60" t="n"/>
      <c r="L68" s="13" t="inlineStr"/>
    </row>
    <row r="69" ht="15.75" customHeight="1" s="48">
      <c r="B69" s="15" t="inlineStr">
        <is>
          <t>Transaction cost share of TCO</t>
        </is>
      </c>
      <c r="E69" s="64">
        <f>IFERROR(J32/J51,0)</f>
        <v/>
      </c>
      <c r="F69" s="60" t="n"/>
      <c r="L69" s="13" t="inlineStr">
        <is>
          <t>Grows with GMV</t>
        </is>
      </c>
    </row>
    <row r="70" ht="15.75" customHeight="1" s="48">
      <c r="B70" s="15" t="inlineStr">
        <is>
          <t>Team (payroll) share of TCO</t>
        </is>
      </c>
      <c r="E70" s="64">
        <f>IFERROR(J40/J51,0)</f>
        <v/>
      </c>
      <c r="F70" s="60" t="n"/>
      <c r="L70" s="13" t="inlineStr">
        <is>
          <t>Usually the largest item</t>
        </is>
      </c>
    </row>
    <row r="71" ht="15.75" customHeight="1" s="48"/>
    <row r="72" ht="15.75" customHeight="1" s="48">
      <c r="B72" s="39" t="inlineStr">
        <is>
          <t>Conclusion for ADR-001</t>
        </is>
      </c>
    </row>
    <row r="73" ht="15" customHeight="1" s="48">
      <c r="B73" s="65" t="inlineStr">
        <is>
          <t>Most expensive: 5-yr direct TCO $49,000,895; Block 1+2 = $19,683/mo in Y1 (~4x the cap), 14 FTE vs 6 contractors, Oracle licences. Only cheaper incl. downtime if loss/min &gt; ~$12k (Comparison sheet).</t>
        </is>
      </c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7" t="n"/>
    </row>
    <row r="74" ht="15.75" customHeight="1" s="48">
      <c r="B74" s="68" t="n"/>
      <c r="L74" s="69" t="n"/>
    </row>
    <row r="75" ht="15.75" customHeight="1" s="48">
      <c r="B75" s="70" t="n"/>
      <c r="C75" s="71" t="n"/>
      <c r="D75" s="71" t="n"/>
      <c r="E75" s="71" t="n"/>
      <c r="F75" s="71" t="n"/>
      <c r="G75" s="71" t="n"/>
      <c r="H75" s="71" t="n"/>
      <c r="I75" s="71" t="n"/>
      <c r="J75" s="71" t="n"/>
      <c r="K75" s="71" t="n"/>
      <c r="L75" s="72" t="n"/>
    </row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4">
    <mergeCell ref="E59:F59"/>
    <mergeCell ref="B73:L75"/>
    <mergeCell ref="E68:F68"/>
    <mergeCell ref="E62:F62"/>
    <mergeCell ref="B72:L72"/>
    <mergeCell ref="E63:F63"/>
    <mergeCell ref="E67:F67"/>
    <mergeCell ref="E69:F69"/>
    <mergeCell ref="E66:F66"/>
    <mergeCell ref="E61:F61"/>
    <mergeCell ref="E60:F60"/>
    <mergeCell ref="E70:F70"/>
    <mergeCell ref="E64:F64"/>
    <mergeCell ref="E65:F65"/>
  </mergeCells>
  <dataValidations count="1">
    <dataValidation sqref="C6:C51" showDropDown="0" showInputMessage="0" showErrorMessage="0" allowBlank="1" type="list">
      <formula1>"fixed,inflation,payroll,users,orders,GMV"</formula1>
    </dataValidation>
  </dataValidation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2026-08-24T07:50:39Z</dcterms:created>
  <dcterms:modified xmlns:dcterms="http://purl.org/dc/terms/" xmlns:xsi="http://www.w3.org/2001/XMLSchema-instance" xsi:type="dcterms:W3CDTF">2026-10-20T17:48:11Z</dcterms:modified>
</cp:coreProperties>
</file>